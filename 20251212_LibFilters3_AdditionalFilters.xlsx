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Q:\Tools\!Spiele\TESO\Addons\!!! Libraries\LibFilters-3.0\!!Helpers\"/>
    </mc:Choice>
  </mc:AlternateContent>
  <xr:revisionPtr revIDLastSave="0" documentId="13_ncr:1_{FFB9E2C5-719D-4033-868D-0793BBEF0EA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ibFilters-3.0 filterPanelIds" sheetId="2" r:id="rId1"/>
    <sheet name="LibFilters-3.0 helpers overview" sheetId="1" r:id="rId2"/>
  </sheets>
  <definedNames>
    <definedName name="_xlnm._FilterDatabase" localSheetId="0" hidden="1">'LibFilters-3.0 filterPanelIds'!$A$1:$D$44</definedName>
    <definedName name="_xlnm._FilterDatabase" localSheetId="1" hidden="1">'LibFilters-3.0 helpers overview'!$A$1:$L$82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1" l="1"/>
  <c r="B6" i="1"/>
  <c r="B4" i="1"/>
  <c r="B24" i="1"/>
  <c r="B22" i="1"/>
  <c r="B73" i="1"/>
  <c r="B79" i="1"/>
  <c r="B75" i="1"/>
  <c r="B77" i="1"/>
  <c r="B26" i="1"/>
  <c r="B27" i="1"/>
  <c r="B52" i="1"/>
  <c r="B71" i="1"/>
  <c r="B65" i="1"/>
  <c r="B61" i="1"/>
  <c r="B63" i="1"/>
  <c r="B67" i="1"/>
  <c r="B2" i="1"/>
  <c r="B10" i="1"/>
  <c r="B12" i="1"/>
  <c r="B55" i="1"/>
  <c r="B54" i="1"/>
  <c r="B16" i="1"/>
  <c r="B14" i="1"/>
  <c r="B8" i="1"/>
  <c r="B56" i="1"/>
  <c r="B58" i="1"/>
  <c r="B31" i="1"/>
  <c r="B29" i="1"/>
  <c r="B46" i="1"/>
  <c r="B42" i="1"/>
  <c r="B44" i="1"/>
  <c r="B48" i="1"/>
  <c r="B69" i="1"/>
  <c r="B50" i="1"/>
  <c r="B37" i="1"/>
  <c r="B35" i="1"/>
  <c r="B20" i="1"/>
  <c r="B18" i="1"/>
  <c r="B39" i="1"/>
  <c r="B81" i="1"/>
  <c r="B11" i="1"/>
  <c r="B13" i="1"/>
  <c r="B17" i="1"/>
  <c r="B15" i="1"/>
  <c r="B9" i="1"/>
  <c r="B57" i="1"/>
  <c r="B59" i="1"/>
  <c r="B32" i="1"/>
  <c r="B30" i="1"/>
  <c r="B47" i="1"/>
  <c r="B41" i="1"/>
  <c r="B43" i="1"/>
  <c r="B45" i="1"/>
  <c r="B49" i="1"/>
  <c r="B70" i="1"/>
  <c r="B51" i="1"/>
  <c r="B38" i="1"/>
  <c r="B36" i="1"/>
  <c r="B21" i="1"/>
  <c r="B19" i="1"/>
  <c r="B40" i="1"/>
  <c r="B82" i="1"/>
  <c r="B7" i="1"/>
  <c r="B5" i="1"/>
  <c r="B25" i="1"/>
  <c r="B23" i="1"/>
  <c r="B74" i="1"/>
  <c r="B80" i="1"/>
  <c r="B76" i="1"/>
  <c r="B78" i="1"/>
  <c r="B28" i="1"/>
  <c r="B53" i="1"/>
  <c r="B72" i="1"/>
  <c r="B66" i="1"/>
  <c r="B60" i="1"/>
  <c r="B62" i="1"/>
  <c r="B64" i="1"/>
  <c r="B68" i="1"/>
  <c r="B3" i="1"/>
  <c r="B34" i="1"/>
</calcChain>
</file>

<file path=xl/sharedStrings.xml><?xml version="1.0" encoding="utf-8"?>
<sst xmlns="http://schemas.openxmlformats.org/spreadsheetml/2006/main" count="408" uniqueCount="149">
  <si>
    <t>LF_SMITHING_REFINE</t>
  </si>
  <si>
    <t>LF_SMITHING_DECONSTRUCT</t>
  </si>
  <si>
    <t>Smithing refinement</t>
  </si>
  <si>
    <t>Smithing deconstruction</t>
  </si>
  <si>
    <t>Smithing creation</t>
  </si>
  <si>
    <t>LF_SMITHING_CREATION</t>
  </si>
  <si>
    <t>Currently not implemented</t>
  </si>
  <si>
    <t>LF_SMITHING_IMPROVEMENT</t>
  </si>
  <si>
    <t>LF_SMITHING_RESEARCH</t>
  </si>
  <si>
    <t>LF_SMITHING_RESEARCH_DIALOG</t>
  </si>
  <si>
    <t>Smithing research item selection popup</t>
  </si>
  <si>
    <t>Smithing research trait list</t>
  </si>
  <si>
    <t>Smithing improvement</t>
  </si>
  <si>
    <t>LF_JEWELRY_REFINE</t>
  </si>
  <si>
    <t>LF_JEWELRY_CREATION</t>
  </si>
  <si>
    <t>LF_JEWELRY_DECONSTRUCT</t>
  </si>
  <si>
    <t>LF_JEWELRY_IMPROVEMENT</t>
  </si>
  <si>
    <t>LF_JEWELRY_RESEARCH</t>
  </si>
  <si>
    <t>LF_JEWELRY_RESEARCH_DIALOG</t>
  </si>
  <si>
    <t>Jewelry crafting refinement</t>
  </si>
  <si>
    <t>Jewelry crafting creation</t>
  </si>
  <si>
    <t>Jewelry crafting deconstruction</t>
  </si>
  <si>
    <t>Jewelry crafting improvement</t>
  </si>
  <si>
    <t>Jewelry crafting research trait list</t>
  </si>
  <si>
    <t>Jewelry crafting research item selection popup</t>
  </si>
  <si>
    <t>LF_ALCHEMY_CREATION</t>
  </si>
  <si>
    <t>LF_PROVISIONING_COOK</t>
  </si>
  <si>
    <t>LF_PROVISIONING_BREW</t>
  </si>
  <si>
    <t>Provisioner brewing drinks</t>
  </si>
  <si>
    <t>Provisioner cooking food</t>
  </si>
  <si>
    <t>Alchemy potion or poison creation</t>
  </si>
  <si>
    <t>LF_RETRAIT</t>
  </si>
  <si>
    <t>Retrait station's retrait panel</t>
  </si>
  <si>
    <t>Universal deconstruction is automatically detected and uses the same LibFilter's
filterPanelIds, just enhances some API functions by returning the currently active UniversalDeconstruction UI's tab "all", "armor", "weapons", "enchanting", "jewelry"</t>
  </si>
  <si>
    <t>LF_ENCHANTING_CREATION</t>
  </si>
  <si>
    <t>LF_ENCHANTING_EXTRACTION</t>
  </si>
  <si>
    <t>Enchanting table's glyph extraction</t>
  </si>
  <si>
    <t>Enchanting table's glyph creation</t>
  </si>
  <si>
    <t>LF_INVENTORY</t>
  </si>
  <si>
    <t>Player inventory</t>
  </si>
  <si>
    <t>LF_BANK_WITHDRAW</t>
  </si>
  <si>
    <t>LF_BANK_DEPOSIT</t>
  </si>
  <si>
    <t>LF_GUILDBANK_WITHDRAW</t>
  </si>
  <si>
    <t>LF_GUILDBANK_DEPOSIT</t>
  </si>
  <si>
    <t>LF_VENDOR_BUY</t>
  </si>
  <si>
    <t>LF_VENDOR_SELL</t>
  </si>
  <si>
    <t>LF_VENDOR_BUYBACK</t>
  </si>
  <si>
    <t>LF_VENDOR_REPAIR</t>
  </si>
  <si>
    <t>LF_GUILDSTORE_BROWSE</t>
  </si>
  <si>
    <t>LF_GUILDSTORE_SELL</t>
  </si>
  <si>
    <t>LF_MAIL_SEND</t>
  </si>
  <si>
    <t>LF_TRADE</t>
  </si>
  <si>
    <t>LF_FENCE_SELL</t>
  </si>
  <si>
    <t>LF_FENCE_LAUNDER</t>
  </si>
  <si>
    <t>LF_CRAFTBAG</t>
  </si>
  <si>
    <t>LF_QUICKSLOT</t>
  </si>
  <si>
    <t>LF_HOUSE_BANK_WITHDRAW</t>
  </si>
  <si>
    <t>LF_HOUSE_BANK_DEPOSIT</t>
  </si>
  <si>
    <t>LF_INVENTORY_QUEST</t>
  </si>
  <si>
    <t>LF_INVENTORY_COMPANION</t>
  </si>
  <si>
    <t>LF_FURNITURE_VAULT_WITHDRAW</t>
  </si>
  <si>
    <t>LF_FURNITURE_VAULT_DEPOSIT</t>
  </si>
  <si>
    <t>LF_INVENTORY_VENGEANCE</t>
  </si>
  <si>
    <t>LF_VENDOR_SELL_VENGEANCE</t>
  </si>
  <si>
    <t>LibFilters filterPanelId constant</t>
  </si>
  <si>
    <t>Value</t>
  </si>
  <si>
    <t>Descritption</t>
  </si>
  <si>
    <t>Comment</t>
  </si>
  <si>
    <t>Fence vendor sell</t>
  </si>
  <si>
    <t>Fence vendor launder</t>
  </si>
  <si>
    <t>CraftBag</t>
  </si>
  <si>
    <t>Quickslot Inventory</t>
  </si>
  <si>
    <t>House bank 1 to 10 Withdraw</t>
  </si>
  <si>
    <t>House bank 1 to 10 Deposit</t>
  </si>
  <si>
    <t>Inventory quest items</t>
  </si>
  <si>
    <t>Companion inventory</t>
  </si>
  <si>
    <t>Furniture vault Withdraw</t>
  </si>
  <si>
    <t>Furniture vault Deposit</t>
  </si>
  <si>
    <t>Cyrodiil Vengeance inventory</t>
  </si>
  <si>
    <t>Cyrodiil Vengeance vendor Sell</t>
  </si>
  <si>
    <t>Player to player trade</t>
  </si>
  <si>
    <t>Mail send</t>
  </si>
  <si>
    <t>Guildstore / Tradinghouse Sell</t>
  </si>
  <si>
    <t>Guildstore / Tradinghouse Search</t>
  </si>
  <si>
    <t>Vendor Repair</t>
  </si>
  <si>
    <t>Vendor Buyback</t>
  </si>
  <si>
    <t>Vendor Sell</t>
  </si>
  <si>
    <t>Vendor Buy</t>
  </si>
  <si>
    <t>Guildbank Deposit</t>
  </si>
  <si>
    <t>Guildbank Withdraw</t>
  </si>
  <si>
    <t>Player bank Withdraw</t>
  </si>
  <si>
    <t>Player bank Deposit</t>
  </si>
  <si>
    <t>B</t>
  </si>
  <si>
    <t>.additionalFilter object type (Object/Fragment/…)</t>
  </si>
  <si>
    <t>Object, where the .additionalFilter
functions are stored?</t>
  </si>
  <si>
    <t>K</t>
  </si>
  <si>
    <t>G</t>
  </si>
  <si>
    <t>Uses vanilla .additionalFilter function?</t>
  </si>
  <si>
    <t>X</t>
  </si>
  <si>
    <t>None, uses vanilla Zos</t>
  </si>
  <si>
    <t>Fragment</t>
  </si>
  <si>
    <t>2 hooked objects here because ZO_InventoryManager:ApplyBackpackLayout(layoutData) changes PLAYER_INVENTORY.inventories[INVENTORY_BACKPACK].additionalFilter from layoutData.additionalFilter, 
where layoutData could be from fragment BACKPACK_MENU_BAR_LAYOUT_FRAGMENT "or others" -&gt; thus we need to hook both</t>
  </si>
  <si>
    <t>BACKPACK_MENU_BAR_LAYOUT_FRAGMENT.layoutData</t>
  </si>
  <si>
    <t>PLAYER_INVENTORIES.inventories[INVENTORY_CRAFT_BAG]</t>
  </si>
  <si>
    <t>PLAYER_INVENTORY.inventories[INVENTORY_CRAFT_BAG].additionalFilter gets updated each time from layoutData.additionalCraftBagFilter, as ZO_InventoryManager:ApplyBackpackLayout(layoutData) is called.
Attention: As LF_INVENTORY and LF_CRAFTBAG both get hooked via fragment BACKPACK_MENU_BAR_LAYOUT_FRAGMENT it needs to be applied a
fix at ZO_InventoryManager:ApplyBackpackLayout in order to update layoutData.LibFilters3_filterType with the correct filterType, 
LF_INVENTORY or LF_CRAFTBAG! See file LibFilters-3.0.lua, function hookNow
Else the last hooked one (LF_CRAFTBAG) will be kept as layoutData.LibFilters3_filterType all the time and filtering wont properly work</t>
  </si>
  <si>
    <t>PLAYER_INVENTORIES.inventories[INVENTORY_QUEST_ITEM]</t>
  </si>
  <si>
    <t>table (Inventory)</t>
  </si>
  <si>
    <t>Fragment (layoutData)</t>
  </si>
  <si>
    <t>QUICKSLOT_KEYBOARD</t>
  </si>
  <si>
    <t>COMPANION_EQUIPMENT_KEYBOARD</t>
  </si>
  <si>
    <t>PLAYER_INVENTORIES.inventories[INVENTORY_VENGEANCE]</t>
  </si>
  <si>
    <t>table</t>
  </si>
  <si>
    <t>PLAYER_INVENTORIES.inventories[INVENTORY_BANK]</t>
  </si>
  <si>
    <t>table (inventory)</t>
  </si>
  <si>
    <t>PLAYER_INVENTORIES.inventories[INVENTORY_HOUSE_BANK]</t>
  </si>
  <si>
    <t>PLAYER_INVENTORIES.inventories[INVENTORY_GUILD_BANK]</t>
  </si>
  <si>
    <t>BACKPACK_BANK_LAYOUT_FRAGMENT.layoutData</t>
  </si>
  <si>
    <t>BACKPACK_GUILD_BANK_LAYOUT_FRAGMENT.layoutData</t>
  </si>
  <si>
    <t>Object for
.additionalFilter
is vanilla?</t>
  </si>
  <si>
    <t>LibFilters helper.lua:
Overwritten function</t>
  </si>
  <si>
    <t>LibFilters helper.lua:
Object/Class/... of overwritten function</t>
  </si>
  <si>
    <t>Implementation comments/Important notes</t>
  </si>
  <si>
    <t>LibFilters:
filterPanelId</t>
  </si>
  <si>
    <t>LibFilters filterPanelId:
Description</t>
  </si>
  <si>
    <r>
      <rPr>
        <b/>
        <sz val="11"/>
        <rFont val="Calibri"/>
        <family val="2"/>
        <scheme val="minor"/>
      </rPr>
      <t>Implementation:</t>
    </r>
    <r>
      <rPr>
        <b/>
        <sz val="11"/>
        <color rgb="FF00B0F0"/>
        <rFont val="Calibri"/>
        <family val="2"/>
        <scheme val="minor"/>
      </rPr>
      <t xml:space="preserve">
K</t>
    </r>
    <r>
      <rPr>
        <b/>
        <sz val="11"/>
        <color theme="1"/>
        <rFont val="Calibri"/>
        <family val="2"/>
        <scheme val="minor"/>
      </rPr>
      <t xml:space="preserve">eyboard/
</t>
    </r>
    <r>
      <rPr>
        <b/>
        <sz val="11"/>
        <color theme="5" tint="-0.249977111117893"/>
        <rFont val="Calibri"/>
        <family val="2"/>
        <scheme val="minor"/>
      </rPr>
      <t>G</t>
    </r>
    <r>
      <rPr>
        <b/>
        <sz val="11"/>
        <color theme="1"/>
        <rFont val="Calibri"/>
        <family val="2"/>
        <scheme val="minor"/>
      </rPr>
      <t>amepad/
Both</t>
    </r>
  </si>
  <si>
    <t>BACKPACK_HOUSE_BANK_LAYOUT_FRAGMENT.layoutData</t>
  </si>
  <si>
    <t>LibFilters Callback:
"On SHOW" name</t>
  </si>
  <si>
    <t>LibFilters Callback:
"On HIDE" name</t>
  </si>
  <si>
    <t>STORE_WINDOW</t>
  </si>
  <si>
    <t>BACKPACK_STORE_LAYOUT_FRAGMENT.layoutData</t>
  </si>
  <si>
    <t>Uses the same as Cyrodiil Vengeance vendor sell (will be updated one filterPanelId switches)</t>
  </si>
  <si>
    <t>Uses the same as Vendor sell (will be updated one filterPanelId switches)</t>
  </si>
  <si>
    <t>BUY_BACK_WINDOW</t>
  </si>
  <si>
    <t>REPAIR_WINDOW</t>
  </si>
  <si>
    <t>BACKPACK_FENCE_LAYOUT_FRAGMENT.layoutData</t>
  </si>
  <si>
    <t>BACKPACK_LAUNDER_LAYOUT_FRAGMENT.layoutData</t>
  </si>
  <si>
    <t>BACKPACK_TRADING_HOUSE_LAYOUT_FRAGMENT.layoutData</t>
  </si>
  <si>
    <t>BACKPACK_MAIL_LAYOUT_FRAGMENT.layoutData</t>
  </si>
  <si>
    <t>BACKPACK_PLAYER_TRADE_LAYOUT_FRAGMENT.layoutData</t>
  </si>
  <si>
    <t>SMITHING_RESEARCH_SELECT</t>
  </si>
  <si>
    <t>filterPanelId will be checked via GetCraftingInteractionType(), if this returns jewelry then it will be the LF_JEWELRY_*, else LF_SMITHING_*</t>
  </si>
  <si>
    <r>
      <t>SMITHING</t>
    </r>
    <r>
      <rPr>
        <sz val="10"/>
        <color rgb="FF080808"/>
        <rFont val="Consolas"/>
        <family val="3"/>
      </rPr>
      <t>.refinementPanel</t>
    </r>
  </si>
  <si>
    <r>
      <t>SMITHING</t>
    </r>
    <r>
      <rPr>
        <sz val="10"/>
        <color rgb="FF080808"/>
        <rFont val="Consolas"/>
        <family val="3"/>
      </rPr>
      <t>.improvementPanel</t>
    </r>
  </si>
  <si>
    <r>
      <t>SMITHING</t>
    </r>
    <r>
      <rPr>
        <sz val="10"/>
        <color rgb="FF080808"/>
        <rFont val="Consolas"/>
        <family val="3"/>
      </rPr>
      <t>.deconstructionPanel</t>
    </r>
  </si>
  <si>
    <t>SMITHING.researchPanel</t>
  </si>
  <si>
    <r>
      <t>SMITHING</t>
    </r>
    <r>
      <rPr>
        <sz val="10"/>
        <color rgb="FF080808"/>
        <rFont val="Consolas"/>
        <family val="3"/>
      </rPr>
      <t>.creationPanel</t>
    </r>
  </si>
  <si>
    <t>ALCHEMY_SCENE</t>
  </si>
  <si>
    <t>Scene</t>
  </si>
  <si>
    <t>ZO_RETRAIT_KEYBOARD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</si>
</sst>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sz val="10"/>
      <color rgb="FF080808"/>
      <name val="Consolas"/>
      <family val="3"/>
    </font>
    <font>
      <b/>
      <strike/>
      <sz val="11"/>
      <color rgb="FFFF000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0"/>
      <color rgb="FFCC542E"/>
      <name val="Consolas"/>
      <family val="3"/>
    </font>
    <font>
      <sz val="10"/>
      <color rgb="FF343434"/>
      <name val="Consolas"/>
      <family val="3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3">
    <xf numFmtId="0" fontId="0" fillId="0" borderId="0"/>
    <xf numFmtId="0" fontId="1" fillId="2" borderId="2" applyNumberFormat="0" applyAlignment="0" applyProtection="0"/>
    <xf numFmtId="0" fontId="2" fillId="2" borderId="1" applyNumberFormat="0" applyAlignment="0" applyProtection="0"/>
  </cellStyleXfs>
  <cellXfs count="19">
    <xf numFmtId="0" fontId="0" fillId="0" borderId="0" xfId="0"/>
    <xf numFmtId="0" fontId="4" fillId="0" borderId="0" xfId="0" applyFont="1"/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8" fillId="0" borderId="0" xfId="0" applyFont="1" applyAlignment="1">
      <alignment vertical="center"/>
    </xf>
    <xf numFmtId="0" fontId="2" fillId="2" borderId="1" xfId="2"/>
    <xf numFmtId="0" fontId="1" fillId="2" borderId="2" xfId="1"/>
    <xf numFmtId="0" fontId="9" fillId="2" borderId="1" xfId="2" applyFont="1"/>
    <xf numFmtId="0" fontId="3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Font="1"/>
    <xf numFmtId="0" fontId="6" fillId="0" borderId="0" xfId="0" applyFont="1" applyAlignment="1">
      <alignment wrapText="1"/>
    </xf>
    <xf numFmtId="0" fontId="6" fillId="0" borderId="0" xfId="0" applyFont="1"/>
    <xf numFmtId="0" fontId="12" fillId="0" borderId="0" xfId="0" applyFont="1" applyAlignment="1">
      <alignment vertical="center"/>
    </xf>
    <xf numFmtId="0" fontId="4" fillId="3" borderId="0" xfId="0" applyFont="1" applyFill="1" applyAlignment="1">
      <alignment wrapText="1"/>
    </xf>
    <xf numFmtId="0" fontId="0" fillId="3" borderId="0" xfId="0" applyFill="1"/>
    <xf numFmtId="0" fontId="13" fillId="0" borderId="0" xfId="0" applyFont="1" applyAlignment="1">
      <alignment vertical="center"/>
    </xf>
    <xf numFmtId="0" fontId="14" fillId="0" borderId="0" xfId="0" applyFont="1"/>
  </cellXfs>
  <cellStyles count="3">
    <cellStyle name="Ausgabe" xfId="1" builtinId="21"/>
    <cellStyle name="Berechnung" xfId="2" builtinId="22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AE86-36B7-4DAF-B156-A056B6A43C96}">
  <sheetPr>
    <tabColor theme="5" tint="0.79998168889431442"/>
  </sheetPr>
  <dimension ref="A1:D44"/>
  <sheetViews>
    <sheetView workbookViewId="0">
      <pane xSplit="2" ySplit="1" topLeftCell="C31" activePane="bottomRight" state="frozen"/>
      <selection pane="topRight" activeCell="C1" sqref="C1"/>
      <selection pane="bottomLeft" activeCell="A2" sqref="A2"/>
      <selection pane="bottomRight" activeCell="A2" sqref="A2:A44"/>
    </sheetView>
  </sheetViews>
  <sheetFormatPr baseColWidth="10" defaultRowHeight="15" x14ac:dyDescent="0.25"/>
  <cols>
    <col min="1" max="1" width="32.28515625" bestFit="1" customWidth="1"/>
    <col min="3" max="3" width="36.7109375" customWidth="1"/>
    <col min="4" max="4" width="47.7109375" customWidth="1"/>
  </cols>
  <sheetData>
    <row r="1" spans="1:4" x14ac:dyDescent="0.25">
      <c r="A1" s="1" t="s">
        <v>64</v>
      </c>
      <c r="B1" s="1" t="s">
        <v>65</v>
      </c>
      <c r="C1" s="1" t="s">
        <v>66</v>
      </c>
      <c r="D1" s="1" t="s">
        <v>67</v>
      </c>
    </row>
    <row r="2" spans="1:4" x14ac:dyDescent="0.25">
      <c r="A2" s="5" t="s">
        <v>38</v>
      </c>
      <c r="B2" s="6">
        <v>1</v>
      </c>
      <c r="C2" t="s">
        <v>39</v>
      </c>
    </row>
    <row r="3" spans="1:4" x14ac:dyDescent="0.25">
      <c r="A3" s="5" t="s">
        <v>40</v>
      </c>
      <c r="B3" s="6">
        <v>2</v>
      </c>
      <c r="C3" t="s">
        <v>90</v>
      </c>
    </row>
    <row r="4" spans="1:4" x14ac:dyDescent="0.25">
      <c r="A4" s="5" t="s">
        <v>41</v>
      </c>
      <c r="B4" s="6">
        <v>3</v>
      </c>
      <c r="C4" t="s">
        <v>91</v>
      </c>
    </row>
    <row r="5" spans="1:4" x14ac:dyDescent="0.25">
      <c r="A5" s="5" t="s">
        <v>42</v>
      </c>
      <c r="B5" s="6">
        <v>4</v>
      </c>
      <c r="C5" t="s">
        <v>89</v>
      </c>
    </row>
    <row r="6" spans="1:4" x14ac:dyDescent="0.25">
      <c r="A6" s="5" t="s">
        <v>43</v>
      </c>
      <c r="B6" s="6">
        <v>5</v>
      </c>
      <c r="C6" t="s">
        <v>88</v>
      </c>
    </row>
    <row r="7" spans="1:4" x14ac:dyDescent="0.25">
      <c r="A7" s="5" t="s">
        <v>44</v>
      </c>
      <c r="B7" s="6">
        <v>6</v>
      </c>
      <c r="C7" t="s">
        <v>87</v>
      </c>
    </row>
    <row r="8" spans="1:4" x14ac:dyDescent="0.25">
      <c r="A8" s="5" t="s">
        <v>45</v>
      </c>
      <c r="B8" s="6">
        <v>7</v>
      </c>
      <c r="C8" t="s">
        <v>86</v>
      </c>
    </row>
    <row r="9" spans="1:4" x14ac:dyDescent="0.25">
      <c r="A9" s="5" t="s">
        <v>46</v>
      </c>
      <c r="B9" s="6">
        <v>8</v>
      </c>
      <c r="C9" t="s">
        <v>85</v>
      </c>
    </row>
    <row r="10" spans="1:4" x14ac:dyDescent="0.25">
      <c r="A10" s="5" t="s">
        <v>47</v>
      </c>
      <c r="B10" s="6">
        <v>9</v>
      </c>
      <c r="C10" t="s">
        <v>84</v>
      </c>
    </row>
    <row r="11" spans="1:4" x14ac:dyDescent="0.25">
      <c r="A11" s="5" t="s">
        <v>48</v>
      </c>
      <c r="B11" s="6">
        <v>10</v>
      </c>
      <c r="C11" t="s">
        <v>83</v>
      </c>
    </row>
    <row r="12" spans="1:4" x14ac:dyDescent="0.25">
      <c r="A12" s="5" t="s">
        <v>49</v>
      </c>
      <c r="B12" s="6">
        <v>11</v>
      </c>
      <c r="C12" t="s">
        <v>82</v>
      </c>
    </row>
    <row r="13" spans="1:4" x14ac:dyDescent="0.25">
      <c r="A13" s="5" t="s">
        <v>50</v>
      </c>
      <c r="B13" s="6">
        <v>12</v>
      </c>
      <c r="C13" t="s">
        <v>81</v>
      </c>
    </row>
    <row r="14" spans="1:4" x14ac:dyDescent="0.25">
      <c r="A14" s="5" t="s">
        <v>51</v>
      </c>
      <c r="B14" s="6">
        <v>13</v>
      </c>
      <c r="C14" t="s">
        <v>80</v>
      </c>
    </row>
    <row r="15" spans="1:4" x14ac:dyDescent="0.25">
      <c r="A15" s="5" t="s">
        <v>0</v>
      </c>
      <c r="B15" s="6">
        <v>14</v>
      </c>
      <c r="C15" t="s">
        <v>2</v>
      </c>
    </row>
    <row r="16" spans="1:4" x14ac:dyDescent="0.25">
      <c r="A16" s="5" t="s">
        <v>5</v>
      </c>
      <c r="B16" s="6">
        <v>15</v>
      </c>
      <c r="C16" t="s">
        <v>4</v>
      </c>
    </row>
    <row r="17" spans="1:4" ht="90" x14ac:dyDescent="0.25">
      <c r="A17" s="5" t="s">
        <v>1</v>
      </c>
      <c r="B17" s="6">
        <v>16</v>
      </c>
      <c r="C17" t="s">
        <v>3</v>
      </c>
      <c r="D17" s="3" t="s">
        <v>33</v>
      </c>
    </row>
    <row r="18" spans="1:4" x14ac:dyDescent="0.25">
      <c r="A18" s="5" t="s">
        <v>7</v>
      </c>
      <c r="B18" s="6">
        <v>17</v>
      </c>
      <c r="C18" t="s">
        <v>12</v>
      </c>
    </row>
    <row r="19" spans="1:4" x14ac:dyDescent="0.25">
      <c r="A19" s="5" t="s">
        <v>8</v>
      </c>
      <c r="B19" s="6">
        <v>18</v>
      </c>
      <c r="C19" t="s">
        <v>11</v>
      </c>
    </row>
    <row r="20" spans="1:4" x14ac:dyDescent="0.25">
      <c r="A20" s="5" t="s">
        <v>25</v>
      </c>
      <c r="B20" s="6">
        <v>19</v>
      </c>
      <c r="C20" t="s">
        <v>30</v>
      </c>
    </row>
    <row r="21" spans="1:4" x14ac:dyDescent="0.25">
      <c r="A21" s="5" t="s">
        <v>34</v>
      </c>
      <c r="B21" s="6">
        <v>20</v>
      </c>
      <c r="C21" t="s">
        <v>37</v>
      </c>
    </row>
    <row r="22" spans="1:4" ht="90" x14ac:dyDescent="0.25">
      <c r="A22" s="5" t="s">
        <v>35</v>
      </c>
      <c r="B22" s="6">
        <v>21</v>
      </c>
      <c r="C22" t="s">
        <v>36</v>
      </c>
      <c r="D22" s="3" t="s">
        <v>33</v>
      </c>
    </row>
    <row r="23" spans="1:4" x14ac:dyDescent="0.25">
      <c r="A23" s="5" t="s">
        <v>26</v>
      </c>
      <c r="B23" s="6">
        <v>22</v>
      </c>
      <c r="C23" t="s">
        <v>29</v>
      </c>
    </row>
    <row r="24" spans="1:4" x14ac:dyDescent="0.25">
      <c r="A24" s="5" t="s">
        <v>27</v>
      </c>
      <c r="B24" s="6">
        <v>23</v>
      </c>
      <c r="C24" t="s">
        <v>28</v>
      </c>
    </row>
    <row r="25" spans="1:4" x14ac:dyDescent="0.25">
      <c r="A25" s="5" t="s">
        <v>52</v>
      </c>
      <c r="B25" s="6">
        <v>24</v>
      </c>
      <c r="C25" t="s">
        <v>68</v>
      </c>
    </row>
    <row r="26" spans="1:4" x14ac:dyDescent="0.25">
      <c r="A26" s="5" t="s">
        <v>53</v>
      </c>
      <c r="B26" s="6">
        <v>25</v>
      </c>
      <c r="C26" t="s">
        <v>69</v>
      </c>
    </row>
    <row r="27" spans="1:4" x14ac:dyDescent="0.25">
      <c r="A27" s="5" t="s">
        <v>54</v>
      </c>
      <c r="B27" s="6">
        <v>26</v>
      </c>
      <c r="C27" t="s">
        <v>70</v>
      </c>
    </row>
    <row r="28" spans="1:4" x14ac:dyDescent="0.25">
      <c r="A28" s="5" t="s">
        <v>55</v>
      </c>
      <c r="B28" s="6">
        <v>27</v>
      </c>
      <c r="C28" t="s">
        <v>71</v>
      </c>
    </row>
    <row r="29" spans="1:4" x14ac:dyDescent="0.25">
      <c r="A29" s="5" t="s">
        <v>31</v>
      </c>
      <c r="B29" s="6">
        <v>28</v>
      </c>
      <c r="C29" t="s">
        <v>32</v>
      </c>
    </row>
    <row r="30" spans="1:4" x14ac:dyDescent="0.25">
      <c r="A30" s="5" t="s">
        <v>56</v>
      </c>
      <c r="B30" s="6">
        <v>29</v>
      </c>
      <c r="C30" t="s">
        <v>72</v>
      </c>
    </row>
    <row r="31" spans="1:4" x14ac:dyDescent="0.25">
      <c r="A31" s="5" t="s">
        <v>57</v>
      </c>
      <c r="B31" s="6">
        <v>30</v>
      </c>
      <c r="C31" t="s">
        <v>73</v>
      </c>
    </row>
    <row r="32" spans="1:4" x14ac:dyDescent="0.25">
      <c r="A32" s="5" t="s">
        <v>13</v>
      </c>
      <c r="B32" s="6">
        <v>31</v>
      </c>
      <c r="C32" t="s">
        <v>19</v>
      </c>
    </row>
    <row r="33" spans="1:4" x14ac:dyDescent="0.25">
      <c r="A33" s="5" t="s">
        <v>14</v>
      </c>
      <c r="B33" s="6">
        <v>32</v>
      </c>
      <c r="C33" t="s">
        <v>20</v>
      </c>
    </row>
    <row r="34" spans="1:4" ht="90" x14ac:dyDescent="0.25">
      <c r="A34" s="5" t="s">
        <v>15</v>
      </c>
      <c r="B34" s="6">
        <v>33</v>
      </c>
      <c r="C34" t="s">
        <v>21</v>
      </c>
      <c r="D34" s="3" t="s">
        <v>33</v>
      </c>
    </row>
    <row r="35" spans="1:4" x14ac:dyDescent="0.25">
      <c r="A35" s="5" t="s">
        <v>16</v>
      </c>
      <c r="B35" s="6">
        <v>34</v>
      </c>
      <c r="C35" t="s">
        <v>22</v>
      </c>
    </row>
    <row r="36" spans="1:4" x14ac:dyDescent="0.25">
      <c r="A36" s="5" t="s">
        <v>17</v>
      </c>
      <c r="B36" s="6">
        <v>35</v>
      </c>
      <c r="C36" t="s">
        <v>23</v>
      </c>
    </row>
    <row r="37" spans="1:4" x14ac:dyDescent="0.25">
      <c r="A37" s="5" t="s">
        <v>9</v>
      </c>
      <c r="B37" s="6">
        <v>36</v>
      </c>
      <c r="C37" t="s">
        <v>10</v>
      </c>
    </row>
    <row r="38" spans="1:4" x14ac:dyDescent="0.25">
      <c r="A38" s="5" t="s">
        <v>18</v>
      </c>
      <c r="B38" s="6">
        <v>37</v>
      </c>
      <c r="C38" t="s">
        <v>24</v>
      </c>
    </row>
    <row r="39" spans="1:4" x14ac:dyDescent="0.25">
      <c r="A39" s="5" t="s">
        <v>58</v>
      </c>
      <c r="B39" s="6">
        <v>38</v>
      </c>
      <c r="C39" t="s">
        <v>74</v>
      </c>
    </row>
    <row r="40" spans="1:4" x14ac:dyDescent="0.25">
      <c r="A40" s="5" t="s">
        <v>59</v>
      </c>
      <c r="B40" s="6">
        <v>39</v>
      </c>
      <c r="C40" t="s">
        <v>75</v>
      </c>
    </row>
    <row r="41" spans="1:4" x14ac:dyDescent="0.25">
      <c r="A41" s="5" t="s">
        <v>60</v>
      </c>
      <c r="B41" s="6">
        <v>40</v>
      </c>
      <c r="C41" t="s">
        <v>76</v>
      </c>
    </row>
    <row r="42" spans="1:4" x14ac:dyDescent="0.25">
      <c r="A42" s="5" t="s">
        <v>61</v>
      </c>
      <c r="B42" s="6">
        <v>41</v>
      </c>
      <c r="C42" t="s">
        <v>77</v>
      </c>
    </row>
    <row r="43" spans="1:4" x14ac:dyDescent="0.25">
      <c r="A43" s="5" t="s">
        <v>62</v>
      </c>
      <c r="B43" s="6">
        <v>42</v>
      </c>
      <c r="C43" t="s">
        <v>78</v>
      </c>
    </row>
    <row r="44" spans="1:4" x14ac:dyDescent="0.25">
      <c r="A44" s="5" t="s">
        <v>63</v>
      </c>
      <c r="B44" s="6">
        <v>43</v>
      </c>
      <c r="C44" t="s">
        <v>79</v>
      </c>
    </row>
  </sheetData>
  <autoFilter ref="A1:D44" xr:uid="{805FAE86-36B7-4DAF-B156-A056B6A43C96}"/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2"/>
  <sheetViews>
    <sheetView tabSelected="1" workbookViewId="0">
      <pane xSplit="3" ySplit="1" topLeftCell="E35" activePane="bottomRight" state="frozen"/>
      <selection pane="topRight" activeCell="D1" sqref="D1"/>
      <selection pane="bottomLeft" activeCell="A2" sqref="A2"/>
      <selection pane="bottomRight" activeCell="E47" sqref="E47"/>
    </sheetView>
  </sheetViews>
  <sheetFormatPr baseColWidth="10" defaultColWidth="9.140625" defaultRowHeight="15" x14ac:dyDescent="0.25"/>
  <cols>
    <col min="1" max="1" width="31.7109375" customWidth="1"/>
    <col min="2" max="2" width="34.5703125" customWidth="1"/>
    <col min="3" max="3" width="10.140625" customWidth="1"/>
    <col min="4" max="4" width="16.28515625" style="13" customWidth="1"/>
    <col min="5" max="5" width="24.7109375" customWidth="1"/>
    <col min="6" max="6" width="37.7109375" customWidth="1"/>
    <col min="7" max="7" width="56.85546875" bestFit="1" customWidth="1"/>
    <col min="8" max="8" width="46.28515625" customWidth="1"/>
    <col min="9" max="9" width="15.42578125" style="11" customWidth="1"/>
    <col min="10" max="10" width="29.28515625" style="16" customWidth="1"/>
    <col min="11" max="11" width="25.7109375" style="16" customWidth="1"/>
    <col min="12" max="12" width="76" customWidth="1"/>
  </cols>
  <sheetData>
    <row r="1" spans="1:12" ht="105" x14ac:dyDescent="0.25">
      <c r="A1" s="2" t="s">
        <v>122</v>
      </c>
      <c r="B1" s="2" t="s">
        <v>123</v>
      </c>
      <c r="C1" s="2" t="s">
        <v>124</v>
      </c>
      <c r="D1" s="12" t="s">
        <v>97</v>
      </c>
      <c r="E1" s="2" t="s">
        <v>119</v>
      </c>
      <c r="F1" s="2" t="s">
        <v>120</v>
      </c>
      <c r="G1" s="2" t="s">
        <v>94</v>
      </c>
      <c r="H1" s="2" t="s">
        <v>93</v>
      </c>
      <c r="I1" s="2" t="s">
        <v>118</v>
      </c>
      <c r="J1" s="15" t="s">
        <v>126</v>
      </c>
      <c r="K1" s="15" t="s">
        <v>127</v>
      </c>
      <c r="L1" s="2" t="s">
        <v>121</v>
      </c>
    </row>
    <row r="2" spans="1:12" x14ac:dyDescent="0.25">
      <c r="A2" s="5" t="s">
        <v>25</v>
      </c>
      <c r="B2" t="str">
        <f>VLOOKUP(A2,'LibFilters-3.0 filterPanelIds'!$A$2:$C$999,3,FALSE)</f>
        <v>Alchemy potion or poison creation</v>
      </c>
      <c r="C2" s="10" t="s">
        <v>96</v>
      </c>
    </row>
    <row r="3" spans="1:12" x14ac:dyDescent="0.25">
      <c r="A3" s="5" t="s">
        <v>25</v>
      </c>
      <c r="B3" t="str">
        <f>VLOOKUP(A3,'LibFilters-3.0 filterPanelIds'!$A$2:$C$999,3,FALSE)</f>
        <v>Alchemy potion or poison creation</v>
      </c>
      <c r="C3" s="9" t="s">
        <v>95</v>
      </c>
      <c r="G3" s="14" t="s">
        <v>146</v>
      </c>
      <c r="H3" t="s">
        <v>147</v>
      </c>
      <c r="I3" s="11" t="s">
        <v>98</v>
      </c>
    </row>
    <row r="4" spans="1:12" x14ac:dyDescent="0.25">
      <c r="A4" s="5" t="s">
        <v>41</v>
      </c>
      <c r="B4" t="str">
        <f>VLOOKUP(A4,'LibFilters-3.0 filterPanelIds'!$A$2:$C$999,3,FALSE)</f>
        <v>Player bank Deposit</v>
      </c>
      <c r="C4" s="10" t="s">
        <v>96</v>
      </c>
    </row>
    <row r="5" spans="1:12" x14ac:dyDescent="0.25">
      <c r="A5" s="5" t="s">
        <v>41</v>
      </c>
      <c r="B5" t="str">
        <f>VLOOKUP(A5,'LibFilters-3.0 filterPanelIds'!$A$2:$C$999,3,FALSE)</f>
        <v>Player bank Deposit</v>
      </c>
      <c r="C5" s="9" t="s">
        <v>95</v>
      </c>
      <c r="G5" s="14" t="s">
        <v>116</v>
      </c>
      <c r="H5" t="s">
        <v>100</v>
      </c>
      <c r="I5" s="11" t="s">
        <v>98</v>
      </c>
    </row>
    <row r="6" spans="1:12" x14ac:dyDescent="0.25">
      <c r="A6" s="5" t="s">
        <v>40</v>
      </c>
      <c r="B6" t="str">
        <f>VLOOKUP(A6,'LibFilters-3.0 filterPanelIds'!$A$2:$C$999,3,FALSE)</f>
        <v>Player bank Withdraw</v>
      </c>
      <c r="C6" s="10" t="s">
        <v>96</v>
      </c>
    </row>
    <row r="7" spans="1:12" x14ac:dyDescent="0.25">
      <c r="A7" s="5" t="s">
        <v>40</v>
      </c>
      <c r="B7" t="str">
        <f>VLOOKUP(A7,'LibFilters-3.0 filterPanelIds'!$A$2:$C$999,3,FALSE)</f>
        <v>Player bank Withdraw</v>
      </c>
      <c r="C7" s="9" t="s">
        <v>95</v>
      </c>
      <c r="G7" t="s">
        <v>112</v>
      </c>
      <c r="H7" t="s">
        <v>106</v>
      </c>
      <c r="I7" s="11" t="s">
        <v>98</v>
      </c>
    </row>
    <row r="8" spans="1:12" x14ac:dyDescent="0.25">
      <c r="A8" s="5" t="s">
        <v>54</v>
      </c>
      <c r="B8" t="str">
        <f>VLOOKUP(A8,'LibFilters-3.0 filterPanelIds'!$A$2:$C$999,3,FALSE)</f>
        <v>CraftBag</v>
      </c>
      <c r="C8" s="10" t="s">
        <v>96</v>
      </c>
    </row>
    <row r="9" spans="1:12" ht="150" x14ac:dyDescent="0.25">
      <c r="A9" s="5" t="s">
        <v>54</v>
      </c>
      <c r="B9" t="str">
        <f>VLOOKUP(A9,'LibFilters-3.0 filterPanelIds'!$A$2:$C$999,3,FALSE)</f>
        <v>CraftBag</v>
      </c>
      <c r="C9" s="9" t="s">
        <v>95</v>
      </c>
      <c r="G9" t="s">
        <v>103</v>
      </c>
      <c r="H9" t="s">
        <v>106</v>
      </c>
      <c r="I9" s="11" t="s">
        <v>98</v>
      </c>
      <c r="L9" s="3" t="s">
        <v>104</v>
      </c>
    </row>
    <row r="10" spans="1:12" x14ac:dyDescent="0.25">
      <c r="A10" s="5" t="s">
        <v>34</v>
      </c>
      <c r="B10" t="str">
        <f>VLOOKUP(A10,'LibFilters-3.0 filterPanelIds'!$A$2:$C$999,3,FALSE)</f>
        <v>Enchanting table's glyph creation</v>
      </c>
      <c r="C10" s="10" t="s">
        <v>96</v>
      </c>
    </row>
    <row r="11" spans="1:12" x14ac:dyDescent="0.25">
      <c r="A11" s="5" t="s">
        <v>34</v>
      </c>
      <c r="B11" t="str">
        <f>VLOOKUP(A11,'LibFilters-3.0 filterPanelIds'!$A$2:$C$999,3,FALSE)</f>
        <v>Enchanting table's glyph creation</v>
      </c>
      <c r="C11" s="9" t="s">
        <v>95</v>
      </c>
    </row>
    <row r="12" spans="1:12" x14ac:dyDescent="0.25">
      <c r="A12" s="5" t="s">
        <v>35</v>
      </c>
      <c r="B12" t="str">
        <f>VLOOKUP(A12,'LibFilters-3.0 filterPanelIds'!$A$2:$C$999,3,FALSE)</f>
        <v>Enchanting table's glyph extraction</v>
      </c>
      <c r="C12" s="10" t="s">
        <v>96</v>
      </c>
    </row>
    <row r="13" spans="1:12" x14ac:dyDescent="0.25">
      <c r="A13" s="5" t="s">
        <v>35</v>
      </c>
      <c r="B13" t="str">
        <f>VLOOKUP(A13,'LibFilters-3.0 filterPanelIds'!$A$2:$C$999,3,FALSE)</f>
        <v>Enchanting table's glyph extraction</v>
      </c>
      <c r="C13" s="9" t="s">
        <v>95</v>
      </c>
    </row>
    <row r="14" spans="1:12" x14ac:dyDescent="0.25">
      <c r="A14" s="5" t="s">
        <v>53</v>
      </c>
      <c r="B14" t="str">
        <f>VLOOKUP(A14,'LibFilters-3.0 filterPanelIds'!$A$2:$C$999,3,FALSE)</f>
        <v>Fence vendor launder</v>
      </c>
      <c r="C14" s="10" t="s">
        <v>96</v>
      </c>
    </row>
    <row r="15" spans="1:12" x14ac:dyDescent="0.25">
      <c r="A15" s="5" t="s">
        <v>53</v>
      </c>
      <c r="B15" t="str">
        <f>VLOOKUP(A15,'LibFilters-3.0 filterPanelIds'!$A$2:$C$999,3,FALSE)</f>
        <v>Fence vendor launder</v>
      </c>
      <c r="C15" s="9" t="s">
        <v>95</v>
      </c>
      <c r="G15" s="14" t="s">
        <v>135</v>
      </c>
      <c r="H15" t="s">
        <v>100</v>
      </c>
      <c r="I15" s="11" t="s">
        <v>98</v>
      </c>
    </row>
    <row r="16" spans="1:12" x14ac:dyDescent="0.25">
      <c r="A16" s="5" t="s">
        <v>52</v>
      </c>
      <c r="B16" t="str">
        <f>VLOOKUP(A16,'LibFilters-3.0 filterPanelIds'!$A$2:$C$999,3,FALSE)</f>
        <v>Fence vendor sell</v>
      </c>
      <c r="C16" s="10" t="s">
        <v>96</v>
      </c>
    </row>
    <row r="17" spans="1:9" x14ac:dyDescent="0.25">
      <c r="A17" s="5" t="s">
        <v>52</v>
      </c>
      <c r="B17" t="str">
        <f>VLOOKUP(A17,'LibFilters-3.0 filterPanelIds'!$A$2:$C$999,3,FALSE)</f>
        <v>Fence vendor sell</v>
      </c>
      <c r="C17" s="9" t="s">
        <v>95</v>
      </c>
      <c r="G17" s="14" t="s">
        <v>134</v>
      </c>
      <c r="H17" t="s">
        <v>100</v>
      </c>
      <c r="I17" s="11" t="s">
        <v>98</v>
      </c>
    </row>
    <row r="18" spans="1:9" x14ac:dyDescent="0.25">
      <c r="A18" s="5" t="s">
        <v>61</v>
      </c>
      <c r="B18" t="str">
        <f>VLOOKUP(A18,'LibFilters-3.0 filterPanelIds'!$A$2:$C$999,3,FALSE)</f>
        <v>Furniture vault Deposit</v>
      </c>
      <c r="C18" s="10" t="s">
        <v>96</v>
      </c>
    </row>
    <row r="19" spans="1:9" x14ac:dyDescent="0.25">
      <c r="A19" s="5" t="s">
        <v>61</v>
      </c>
      <c r="B19" t="str">
        <f>VLOOKUP(A19,'LibFilters-3.0 filterPanelIds'!$A$2:$C$999,3,FALSE)</f>
        <v>Furniture vault Deposit</v>
      </c>
      <c r="C19" s="9" t="s">
        <v>95</v>
      </c>
    </row>
    <row r="20" spans="1:9" x14ac:dyDescent="0.25">
      <c r="A20" s="5" t="s">
        <v>60</v>
      </c>
      <c r="B20" t="str">
        <f>VLOOKUP(A20,'LibFilters-3.0 filterPanelIds'!$A$2:$C$999,3,FALSE)</f>
        <v>Furniture vault Withdraw</v>
      </c>
      <c r="C20" s="10" t="s">
        <v>96</v>
      </c>
    </row>
    <row r="21" spans="1:9" x14ac:dyDescent="0.25">
      <c r="A21" s="5" t="s">
        <v>60</v>
      </c>
      <c r="B21" t="str">
        <f>VLOOKUP(A21,'LibFilters-3.0 filterPanelIds'!$A$2:$C$999,3,FALSE)</f>
        <v>Furniture vault Withdraw</v>
      </c>
      <c r="C21" s="9" t="s">
        <v>95</v>
      </c>
    </row>
    <row r="22" spans="1:9" x14ac:dyDescent="0.25">
      <c r="A22" s="5" t="s">
        <v>43</v>
      </c>
      <c r="B22" t="str">
        <f>VLOOKUP(A22,'LibFilters-3.0 filterPanelIds'!$A$2:$C$999,3,FALSE)</f>
        <v>Guildbank Deposit</v>
      </c>
      <c r="C22" s="10" t="s">
        <v>96</v>
      </c>
    </row>
    <row r="23" spans="1:9" x14ac:dyDescent="0.25">
      <c r="A23" s="5" t="s">
        <v>43</v>
      </c>
      <c r="B23" t="str">
        <f>VLOOKUP(A23,'LibFilters-3.0 filterPanelIds'!$A$2:$C$999,3,FALSE)</f>
        <v>Guildbank Deposit</v>
      </c>
      <c r="C23" s="9" t="s">
        <v>95</v>
      </c>
      <c r="G23" s="14" t="s">
        <v>117</v>
      </c>
      <c r="H23" t="s">
        <v>100</v>
      </c>
      <c r="I23" s="11" t="s">
        <v>98</v>
      </c>
    </row>
    <row r="24" spans="1:9" x14ac:dyDescent="0.25">
      <c r="A24" s="5" t="s">
        <v>42</v>
      </c>
      <c r="B24" t="str">
        <f>VLOOKUP(A24,'LibFilters-3.0 filterPanelIds'!$A$2:$C$999,3,FALSE)</f>
        <v>Guildbank Withdraw</v>
      </c>
      <c r="C24" s="10" t="s">
        <v>96</v>
      </c>
    </row>
    <row r="25" spans="1:9" x14ac:dyDescent="0.25">
      <c r="A25" s="5" t="s">
        <v>42</v>
      </c>
      <c r="B25" t="str">
        <f>VLOOKUP(A25,'LibFilters-3.0 filterPanelIds'!$A$2:$C$999,3,FALSE)</f>
        <v>Guildbank Withdraw</v>
      </c>
      <c r="C25" s="9" t="s">
        <v>95</v>
      </c>
      <c r="G25" t="s">
        <v>115</v>
      </c>
      <c r="H25" t="s">
        <v>113</v>
      </c>
      <c r="I25" s="11" t="s">
        <v>98</v>
      </c>
    </row>
    <row r="26" spans="1:9" x14ac:dyDescent="0.25">
      <c r="A26" s="7" t="s">
        <v>48</v>
      </c>
      <c r="B26" t="str">
        <f>VLOOKUP(A26,'LibFilters-3.0 filterPanelIds'!$A$2:$C$999,3,FALSE)</f>
        <v>Guildstore / Tradinghouse Search</v>
      </c>
      <c r="C26" s="18" t="s">
        <v>92</v>
      </c>
      <c r="E26" s="8" t="s">
        <v>6</v>
      </c>
    </row>
    <row r="27" spans="1:9" x14ac:dyDescent="0.25">
      <c r="A27" s="5" t="s">
        <v>49</v>
      </c>
      <c r="B27" t="str">
        <f>VLOOKUP(A27,'LibFilters-3.0 filterPanelIds'!$A$2:$C$999,3,FALSE)</f>
        <v>Guildstore / Tradinghouse Sell</v>
      </c>
      <c r="C27" s="10" t="s">
        <v>96</v>
      </c>
    </row>
    <row r="28" spans="1:9" x14ac:dyDescent="0.25">
      <c r="A28" s="5" t="s">
        <v>49</v>
      </c>
      <c r="B28" t="str">
        <f>VLOOKUP(A28,'LibFilters-3.0 filterPanelIds'!$A$2:$C$999,3,FALSE)</f>
        <v>Guildstore / Tradinghouse Sell</v>
      </c>
      <c r="C28" s="9" t="s">
        <v>95</v>
      </c>
      <c r="G28" s="14" t="s">
        <v>136</v>
      </c>
      <c r="H28" t="s">
        <v>100</v>
      </c>
      <c r="I28" s="11" t="s">
        <v>98</v>
      </c>
    </row>
    <row r="29" spans="1:9" x14ac:dyDescent="0.25">
      <c r="A29" s="5" t="s">
        <v>57</v>
      </c>
      <c r="B29" t="str">
        <f>VLOOKUP(A29,'LibFilters-3.0 filterPanelIds'!$A$2:$C$999,3,FALSE)</f>
        <v>House bank 1 to 10 Deposit</v>
      </c>
      <c r="C29" s="10" t="s">
        <v>96</v>
      </c>
    </row>
    <row r="30" spans="1:9" x14ac:dyDescent="0.25">
      <c r="A30" s="5" t="s">
        <v>57</v>
      </c>
      <c r="B30" t="str">
        <f>VLOOKUP(A30,'LibFilters-3.0 filterPanelIds'!$A$2:$C$999,3,FALSE)</f>
        <v>House bank 1 to 10 Deposit</v>
      </c>
      <c r="C30" s="9" t="s">
        <v>95</v>
      </c>
      <c r="G30" s="14" t="s">
        <v>125</v>
      </c>
      <c r="H30" t="s">
        <v>100</v>
      </c>
      <c r="I30" s="11" t="s">
        <v>98</v>
      </c>
    </row>
    <row r="31" spans="1:9" x14ac:dyDescent="0.25">
      <c r="A31" s="5" t="s">
        <v>56</v>
      </c>
      <c r="B31" t="str">
        <f>VLOOKUP(A31,'LibFilters-3.0 filterPanelIds'!$A$2:$C$999,3,FALSE)</f>
        <v>House bank 1 to 10 Withdraw</v>
      </c>
      <c r="C31" s="10" t="s">
        <v>96</v>
      </c>
    </row>
    <row r="32" spans="1:9" x14ac:dyDescent="0.25">
      <c r="A32" s="5" t="s">
        <v>56</v>
      </c>
      <c r="B32" t="str">
        <f>VLOOKUP(A32,'LibFilters-3.0 filterPanelIds'!$A$2:$C$999,3,FALSE)</f>
        <v>House bank 1 to 10 Withdraw</v>
      </c>
      <c r="C32" s="9" t="s">
        <v>95</v>
      </c>
      <c r="G32" t="s">
        <v>114</v>
      </c>
      <c r="H32" t="s">
        <v>113</v>
      </c>
      <c r="I32" s="11" t="s">
        <v>98</v>
      </c>
    </row>
    <row r="33" spans="1:12" x14ac:dyDescent="0.25">
      <c r="A33" s="5" t="s">
        <v>38</v>
      </c>
      <c r="B33" t="str">
        <f>VLOOKUP(A33,'LibFilters-3.0 filterPanelIds'!$A$2:$C$999,3,FALSE)</f>
        <v>Player inventory</v>
      </c>
      <c r="C33" s="10" t="s">
        <v>96</v>
      </c>
    </row>
    <row r="34" spans="1:12" ht="105" x14ac:dyDescent="0.25">
      <c r="A34" s="5" t="s">
        <v>38</v>
      </c>
      <c r="B34" t="str">
        <f>VLOOKUP(A34,'LibFilters-3.0 filterPanelIds'!$A$2:$C$999,3,FALSE)</f>
        <v>Player inventory</v>
      </c>
      <c r="C34" s="9" t="s">
        <v>95</v>
      </c>
      <c r="D34" s="13" t="s">
        <v>98</v>
      </c>
      <c r="E34" t="s">
        <v>99</v>
      </c>
      <c r="G34" t="s">
        <v>102</v>
      </c>
      <c r="H34" t="s">
        <v>107</v>
      </c>
      <c r="I34" s="11" t="s">
        <v>98</v>
      </c>
      <c r="L34" s="3" t="s">
        <v>101</v>
      </c>
    </row>
    <row r="35" spans="1:12" x14ac:dyDescent="0.25">
      <c r="A35" s="5" t="s">
        <v>59</v>
      </c>
      <c r="B35" t="str">
        <f>VLOOKUP(A35,'LibFilters-3.0 filterPanelIds'!$A$2:$C$999,3,FALSE)</f>
        <v>Companion inventory</v>
      </c>
      <c r="C35" s="10" t="s">
        <v>96</v>
      </c>
    </row>
    <row r="36" spans="1:12" x14ac:dyDescent="0.25">
      <c r="A36" s="5" t="s">
        <v>59</v>
      </c>
      <c r="B36" t="str">
        <f>VLOOKUP(A36,'LibFilters-3.0 filterPanelIds'!$A$2:$C$999,3,FALSE)</f>
        <v>Companion inventory</v>
      </c>
      <c r="C36" s="9" t="s">
        <v>95</v>
      </c>
      <c r="G36" t="s">
        <v>109</v>
      </c>
      <c r="H36" t="s">
        <v>111</v>
      </c>
      <c r="I36" s="11" t="s">
        <v>98</v>
      </c>
    </row>
    <row r="37" spans="1:12" x14ac:dyDescent="0.25">
      <c r="A37" s="5" t="s">
        <v>58</v>
      </c>
      <c r="B37" t="str">
        <f>VLOOKUP(A37,'LibFilters-3.0 filterPanelIds'!$A$2:$C$999,3,FALSE)</f>
        <v>Inventory quest items</v>
      </c>
      <c r="C37" s="10" t="s">
        <v>96</v>
      </c>
    </row>
    <row r="38" spans="1:12" x14ac:dyDescent="0.25">
      <c r="A38" s="5" t="s">
        <v>58</v>
      </c>
      <c r="B38" t="str">
        <f>VLOOKUP(A38,'LibFilters-3.0 filterPanelIds'!$A$2:$C$999,3,FALSE)</f>
        <v>Inventory quest items</v>
      </c>
      <c r="C38" s="9" t="s">
        <v>95</v>
      </c>
      <c r="G38" t="s">
        <v>105</v>
      </c>
      <c r="H38" t="s">
        <v>106</v>
      </c>
      <c r="I38" s="11" t="s">
        <v>98</v>
      </c>
    </row>
    <row r="39" spans="1:12" x14ac:dyDescent="0.25">
      <c r="A39" s="5" t="s">
        <v>62</v>
      </c>
      <c r="B39" t="str">
        <f>VLOOKUP(A39,'LibFilters-3.0 filterPanelIds'!$A$2:$C$999,3,FALSE)</f>
        <v>Cyrodiil Vengeance inventory</v>
      </c>
      <c r="C39" s="10" t="s">
        <v>96</v>
      </c>
      <c r="G39" t="s">
        <v>110</v>
      </c>
      <c r="H39" t="s">
        <v>106</v>
      </c>
      <c r="I39" s="11" t="s">
        <v>98</v>
      </c>
    </row>
    <row r="40" spans="1:12" x14ac:dyDescent="0.25">
      <c r="A40" s="5" t="s">
        <v>62</v>
      </c>
      <c r="B40" t="str">
        <f>VLOOKUP(A40,'LibFilters-3.0 filterPanelIds'!$A$2:$C$999,3,FALSE)</f>
        <v>Cyrodiil Vengeance inventory</v>
      </c>
      <c r="C40" s="9" t="s">
        <v>95</v>
      </c>
    </row>
    <row r="41" spans="1:12" x14ac:dyDescent="0.25">
      <c r="A41" s="7" t="s">
        <v>14</v>
      </c>
      <c r="B41" t="str">
        <f>VLOOKUP(A41,'LibFilters-3.0 filterPanelIds'!$A$2:$C$999,3,FALSE)</f>
        <v>Jewelry crafting creation</v>
      </c>
      <c r="C41" t="s">
        <v>92</v>
      </c>
      <c r="E41" s="8" t="s">
        <v>6</v>
      </c>
      <c r="G41" s="17" t="s">
        <v>145</v>
      </c>
      <c r="H41" t="s">
        <v>111</v>
      </c>
      <c r="I41" s="11" t="s">
        <v>98</v>
      </c>
      <c r="L41" t="s">
        <v>140</v>
      </c>
    </row>
    <row r="42" spans="1:12" x14ac:dyDescent="0.25">
      <c r="A42" s="5" t="s">
        <v>15</v>
      </c>
      <c r="B42" t="str">
        <f>VLOOKUP(A42,'LibFilters-3.0 filterPanelIds'!$A$2:$C$999,3,FALSE)</f>
        <v>Jewelry crafting deconstruction</v>
      </c>
      <c r="C42" s="10" t="s">
        <v>96</v>
      </c>
      <c r="L42" t="s">
        <v>140</v>
      </c>
    </row>
    <row r="43" spans="1:12" x14ac:dyDescent="0.25">
      <c r="A43" s="5" t="s">
        <v>15</v>
      </c>
      <c r="B43" t="str">
        <f>VLOOKUP(A43,'LibFilters-3.0 filterPanelIds'!$A$2:$C$999,3,FALSE)</f>
        <v>Jewelry crafting deconstruction</v>
      </c>
      <c r="C43" s="9" t="s">
        <v>95</v>
      </c>
      <c r="G43" s="17" t="s">
        <v>143</v>
      </c>
      <c r="H43" t="s">
        <v>111</v>
      </c>
      <c r="I43" s="11" t="s">
        <v>98</v>
      </c>
      <c r="L43" t="s">
        <v>140</v>
      </c>
    </row>
    <row r="44" spans="1:12" x14ac:dyDescent="0.25">
      <c r="A44" s="5" t="s">
        <v>16</v>
      </c>
      <c r="B44" t="str">
        <f>VLOOKUP(A44,'LibFilters-3.0 filterPanelIds'!$A$2:$C$999,3,FALSE)</f>
        <v>Jewelry crafting improvement</v>
      </c>
      <c r="C44" s="10" t="s">
        <v>96</v>
      </c>
      <c r="L44" t="s">
        <v>140</v>
      </c>
    </row>
    <row r="45" spans="1:12" x14ac:dyDescent="0.25">
      <c r="A45" s="5" t="s">
        <v>16</v>
      </c>
      <c r="B45" t="str">
        <f>VLOOKUP(A45,'LibFilters-3.0 filterPanelIds'!$A$2:$C$999,3,FALSE)</f>
        <v>Jewelry crafting improvement</v>
      </c>
      <c r="C45" s="9" t="s">
        <v>95</v>
      </c>
      <c r="G45" s="17" t="s">
        <v>142</v>
      </c>
      <c r="H45" t="s">
        <v>111</v>
      </c>
      <c r="I45" s="11" t="s">
        <v>98</v>
      </c>
      <c r="L45" t="s">
        <v>140</v>
      </c>
    </row>
    <row r="46" spans="1:12" x14ac:dyDescent="0.25">
      <c r="A46" s="5" t="s">
        <v>13</v>
      </c>
      <c r="B46" t="str">
        <f>VLOOKUP(A46,'LibFilters-3.0 filterPanelIds'!$A$2:$C$999,3,FALSE)</f>
        <v>Jewelry crafting refinement</v>
      </c>
      <c r="C46" s="10" t="s">
        <v>96</v>
      </c>
      <c r="L46" t="s">
        <v>140</v>
      </c>
    </row>
    <row r="47" spans="1:12" x14ac:dyDescent="0.25">
      <c r="A47" s="5" t="s">
        <v>13</v>
      </c>
      <c r="B47" t="str">
        <f>VLOOKUP(A47,'LibFilters-3.0 filterPanelIds'!$A$2:$C$999,3,FALSE)</f>
        <v>Jewelry crafting refinement</v>
      </c>
      <c r="C47" s="9" t="s">
        <v>95</v>
      </c>
      <c r="G47" s="17" t="s">
        <v>141</v>
      </c>
      <c r="H47" t="s">
        <v>111</v>
      </c>
      <c r="I47" s="11" t="s">
        <v>98</v>
      </c>
      <c r="L47" t="s">
        <v>140</v>
      </c>
    </row>
    <row r="48" spans="1:12" x14ac:dyDescent="0.25">
      <c r="A48" s="5" t="s">
        <v>17</v>
      </c>
      <c r="B48" t="str">
        <f>VLOOKUP(A48,'LibFilters-3.0 filterPanelIds'!$A$2:$C$999,3,FALSE)</f>
        <v>Jewelry crafting research trait list</v>
      </c>
      <c r="C48" s="10" t="s">
        <v>96</v>
      </c>
      <c r="L48" t="s">
        <v>140</v>
      </c>
    </row>
    <row r="49" spans="1:12" x14ac:dyDescent="0.25">
      <c r="A49" s="5" t="s">
        <v>17</v>
      </c>
      <c r="B49" t="str">
        <f>VLOOKUP(A49,'LibFilters-3.0 filterPanelIds'!$A$2:$C$999,3,FALSE)</f>
        <v>Jewelry crafting research trait list</v>
      </c>
      <c r="C49" s="9" t="s">
        <v>95</v>
      </c>
      <c r="G49" s="4" t="s">
        <v>144</v>
      </c>
      <c r="H49" t="s">
        <v>111</v>
      </c>
      <c r="I49" s="11" t="s">
        <v>98</v>
      </c>
      <c r="L49" t="s">
        <v>140</v>
      </c>
    </row>
    <row r="50" spans="1:12" x14ac:dyDescent="0.25">
      <c r="A50" s="5" t="s">
        <v>18</v>
      </c>
      <c r="B50" t="str">
        <f>VLOOKUP(A50,'LibFilters-3.0 filterPanelIds'!$A$2:$C$999,3,FALSE)</f>
        <v>Jewelry crafting research item selection popup</v>
      </c>
      <c r="C50" s="10" t="s">
        <v>96</v>
      </c>
      <c r="L50" t="s">
        <v>140</v>
      </c>
    </row>
    <row r="51" spans="1:12" x14ac:dyDescent="0.25">
      <c r="A51" s="5" t="s">
        <v>18</v>
      </c>
      <c r="B51" t="str">
        <f>VLOOKUP(A51,'LibFilters-3.0 filterPanelIds'!$A$2:$C$999,3,FALSE)</f>
        <v>Jewelry crafting research item selection popup</v>
      </c>
      <c r="C51" s="9" t="s">
        <v>95</v>
      </c>
      <c r="G51" s="14" t="s">
        <v>139</v>
      </c>
      <c r="H51" t="s">
        <v>111</v>
      </c>
      <c r="I51" s="11" t="s">
        <v>98</v>
      </c>
      <c r="L51" t="s">
        <v>140</v>
      </c>
    </row>
    <row r="52" spans="1:12" x14ac:dyDescent="0.25">
      <c r="A52" s="5" t="s">
        <v>50</v>
      </c>
      <c r="B52" t="str">
        <f>VLOOKUP(A52,'LibFilters-3.0 filterPanelIds'!$A$2:$C$999,3,FALSE)</f>
        <v>Mail send</v>
      </c>
      <c r="C52" s="10" t="s">
        <v>96</v>
      </c>
    </row>
    <row r="53" spans="1:12" x14ac:dyDescent="0.25">
      <c r="A53" s="5" t="s">
        <v>50</v>
      </c>
      <c r="B53" t="str">
        <f>VLOOKUP(A53,'LibFilters-3.0 filterPanelIds'!$A$2:$C$999,3,FALSE)</f>
        <v>Mail send</v>
      </c>
      <c r="C53" s="9" t="s">
        <v>95</v>
      </c>
      <c r="G53" s="14" t="s">
        <v>137</v>
      </c>
      <c r="H53" t="s">
        <v>100</v>
      </c>
      <c r="I53" s="11" t="s">
        <v>98</v>
      </c>
    </row>
    <row r="54" spans="1:12" x14ac:dyDescent="0.25">
      <c r="A54" s="7" t="s">
        <v>27</v>
      </c>
      <c r="B54" t="str">
        <f>VLOOKUP(A54,'LibFilters-3.0 filterPanelIds'!$A$2:$C$999,3,FALSE)</f>
        <v>Provisioner brewing drinks</v>
      </c>
      <c r="C54" s="18" t="s">
        <v>92</v>
      </c>
      <c r="E54" s="8" t="s">
        <v>6</v>
      </c>
    </row>
    <row r="55" spans="1:12" x14ac:dyDescent="0.25">
      <c r="A55" s="7" t="s">
        <v>26</v>
      </c>
      <c r="B55" t="str">
        <f>VLOOKUP(A55,'LibFilters-3.0 filterPanelIds'!$A$2:$C$999,3,FALSE)</f>
        <v>Provisioner cooking food</v>
      </c>
      <c r="C55" s="18" t="s">
        <v>92</v>
      </c>
      <c r="E55" s="8" t="s">
        <v>6</v>
      </c>
    </row>
    <row r="56" spans="1:12" x14ac:dyDescent="0.25">
      <c r="A56" s="5" t="s">
        <v>55</v>
      </c>
      <c r="B56" t="str">
        <f>VLOOKUP(A56,'LibFilters-3.0 filterPanelIds'!$A$2:$C$999,3,FALSE)</f>
        <v>Quickslot Inventory</v>
      </c>
      <c r="C56" s="10" t="s">
        <v>96</v>
      </c>
    </row>
    <row r="57" spans="1:12" x14ac:dyDescent="0.25">
      <c r="A57" s="5" t="s">
        <v>55</v>
      </c>
      <c r="B57" t="str">
        <f>VLOOKUP(A57,'LibFilters-3.0 filterPanelIds'!$A$2:$C$999,3,FALSE)</f>
        <v>Quickslot Inventory</v>
      </c>
      <c r="C57" s="9" t="s">
        <v>95</v>
      </c>
      <c r="G57" t="s">
        <v>108</v>
      </c>
      <c r="H57" t="s">
        <v>111</v>
      </c>
      <c r="I57" s="11" t="s">
        <v>98</v>
      </c>
    </row>
    <row r="58" spans="1:12" x14ac:dyDescent="0.25">
      <c r="A58" s="5" t="s">
        <v>31</v>
      </c>
      <c r="B58" t="str">
        <f>VLOOKUP(A58,'LibFilters-3.0 filterPanelIds'!$A$2:$C$999,3,FALSE)</f>
        <v>Retrait station's retrait panel</v>
      </c>
      <c r="C58" s="10" t="s">
        <v>96</v>
      </c>
    </row>
    <row r="59" spans="1:12" x14ac:dyDescent="0.25">
      <c r="A59" s="5" t="s">
        <v>31</v>
      </c>
      <c r="B59" t="str">
        <f>VLOOKUP(A59,'LibFilters-3.0 filterPanelIds'!$A$2:$C$999,3,FALSE)</f>
        <v>Retrait station's retrait panel</v>
      </c>
      <c r="C59" s="9" t="s">
        <v>95</v>
      </c>
      <c r="G59" s="14" t="s">
        <v>148</v>
      </c>
      <c r="H59" t="s">
        <v>111</v>
      </c>
      <c r="I59" s="11" t="s">
        <v>98</v>
      </c>
    </row>
    <row r="60" spans="1:12" x14ac:dyDescent="0.25">
      <c r="A60" s="7" t="s">
        <v>5</v>
      </c>
      <c r="B60" t="str">
        <f>VLOOKUP(A60,'LibFilters-3.0 filterPanelIds'!$A$2:$C$999,3,FALSE)</f>
        <v>Smithing creation</v>
      </c>
      <c r="C60" t="s">
        <v>92</v>
      </c>
      <c r="E60" s="8" t="s">
        <v>6</v>
      </c>
      <c r="G60" s="17" t="s">
        <v>145</v>
      </c>
      <c r="H60" t="s">
        <v>111</v>
      </c>
      <c r="I60" s="11" t="s">
        <v>98</v>
      </c>
      <c r="L60" t="s">
        <v>140</v>
      </c>
    </row>
    <row r="61" spans="1:12" x14ac:dyDescent="0.25">
      <c r="A61" s="5" t="s">
        <v>1</v>
      </c>
      <c r="B61" t="str">
        <f>VLOOKUP(A61,'LibFilters-3.0 filterPanelIds'!$A$2:$C$999,3,FALSE)</f>
        <v>Smithing deconstruction</v>
      </c>
      <c r="C61" s="10" t="s">
        <v>96</v>
      </c>
      <c r="L61" t="s">
        <v>140</v>
      </c>
    </row>
    <row r="62" spans="1:12" x14ac:dyDescent="0.25">
      <c r="A62" s="5" t="s">
        <v>1</v>
      </c>
      <c r="B62" t="str">
        <f>VLOOKUP(A62,'LibFilters-3.0 filterPanelIds'!$A$2:$C$999,3,FALSE)</f>
        <v>Smithing deconstruction</v>
      </c>
      <c r="C62" s="9" t="s">
        <v>95</v>
      </c>
      <c r="G62" s="17" t="s">
        <v>143</v>
      </c>
      <c r="H62" t="s">
        <v>111</v>
      </c>
      <c r="I62" s="11" t="s">
        <v>98</v>
      </c>
      <c r="L62" t="s">
        <v>140</v>
      </c>
    </row>
    <row r="63" spans="1:12" x14ac:dyDescent="0.25">
      <c r="A63" s="5" t="s">
        <v>7</v>
      </c>
      <c r="B63" t="str">
        <f>VLOOKUP(A63,'LibFilters-3.0 filterPanelIds'!$A$2:$C$999,3,FALSE)</f>
        <v>Smithing improvement</v>
      </c>
      <c r="C63" s="10" t="s">
        <v>96</v>
      </c>
      <c r="L63" t="s">
        <v>140</v>
      </c>
    </row>
    <row r="64" spans="1:12" x14ac:dyDescent="0.25">
      <c r="A64" s="5" t="s">
        <v>7</v>
      </c>
      <c r="B64" t="str">
        <f>VLOOKUP(A64,'LibFilters-3.0 filterPanelIds'!$A$2:$C$999,3,FALSE)</f>
        <v>Smithing improvement</v>
      </c>
      <c r="C64" s="9" t="s">
        <v>95</v>
      </c>
      <c r="G64" s="17" t="s">
        <v>142</v>
      </c>
      <c r="H64" t="s">
        <v>111</v>
      </c>
      <c r="I64" s="11" t="s">
        <v>98</v>
      </c>
      <c r="L64" t="s">
        <v>140</v>
      </c>
    </row>
    <row r="65" spans="1:12" x14ac:dyDescent="0.25">
      <c r="A65" s="5" t="s">
        <v>0</v>
      </c>
      <c r="B65" t="str">
        <f>VLOOKUP(A65,'LibFilters-3.0 filterPanelIds'!$A$2:$C$999,3,FALSE)</f>
        <v>Smithing refinement</v>
      </c>
      <c r="C65" s="10" t="s">
        <v>96</v>
      </c>
      <c r="L65" t="s">
        <v>140</v>
      </c>
    </row>
    <row r="66" spans="1:12" x14ac:dyDescent="0.25">
      <c r="A66" s="5" t="s">
        <v>0</v>
      </c>
      <c r="B66" t="str">
        <f>VLOOKUP(A66,'LibFilters-3.0 filterPanelIds'!$A$2:$C$999,3,FALSE)</f>
        <v>Smithing refinement</v>
      </c>
      <c r="C66" s="9" t="s">
        <v>95</v>
      </c>
      <c r="G66" s="17" t="s">
        <v>141</v>
      </c>
      <c r="H66" t="s">
        <v>111</v>
      </c>
      <c r="I66" s="11" t="s">
        <v>98</v>
      </c>
      <c r="L66" t="s">
        <v>140</v>
      </c>
    </row>
    <row r="67" spans="1:12" x14ac:dyDescent="0.25">
      <c r="A67" s="5" t="s">
        <v>8</v>
      </c>
      <c r="B67" t="str">
        <f>VLOOKUP(A67,'LibFilters-3.0 filterPanelIds'!$A$2:$C$999,3,FALSE)</f>
        <v>Smithing research trait list</v>
      </c>
      <c r="C67" s="10" t="s">
        <v>96</v>
      </c>
      <c r="L67" t="s">
        <v>140</v>
      </c>
    </row>
    <row r="68" spans="1:12" x14ac:dyDescent="0.25">
      <c r="A68" s="5" t="s">
        <v>8</v>
      </c>
      <c r="B68" t="str">
        <f>VLOOKUP(A68,'LibFilters-3.0 filterPanelIds'!$A$2:$C$999,3,FALSE)</f>
        <v>Smithing research trait list</v>
      </c>
      <c r="C68" s="9" t="s">
        <v>95</v>
      </c>
      <c r="G68" s="4" t="s">
        <v>144</v>
      </c>
      <c r="H68" t="s">
        <v>111</v>
      </c>
      <c r="I68" s="11" t="s">
        <v>98</v>
      </c>
      <c r="L68" t="s">
        <v>140</v>
      </c>
    </row>
    <row r="69" spans="1:12" x14ac:dyDescent="0.25">
      <c r="A69" s="5" t="s">
        <v>9</v>
      </c>
      <c r="B69" t="str">
        <f>VLOOKUP(A69,'LibFilters-3.0 filterPanelIds'!$A$2:$C$999,3,FALSE)</f>
        <v>Smithing research item selection popup</v>
      </c>
      <c r="C69" s="10" t="s">
        <v>96</v>
      </c>
      <c r="L69" t="s">
        <v>140</v>
      </c>
    </row>
    <row r="70" spans="1:12" x14ac:dyDescent="0.25">
      <c r="A70" s="5" t="s">
        <v>9</v>
      </c>
      <c r="B70" t="str">
        <f>VLOOKUP(A70,'LibFilters-3.0 filterPanelIds'!$A$2:$C$999,3,FALSE)</f>
        <v>Smithing research item selection popup</v>
      </c>
      <c r="C70" s="9" t="s">
        <v>95</v>
      </c>
      <c r="G70" s="14" t="s">
        <v>139</v>
      </c>
      <c r="H70" t="s">
        <v>111</v>
      </c>
      <c r="I70" s="11" t="s">
        <v>98</v>
      </c>
      <c r="L70" t="s">
        <v>140</v>
      </c>
    </row>
    <row r="71" spans="1:12" x14ac:dyDescent="0.25">
      <c r="A71" s="5" t="s">
        <v>51</v>
      </c>
      <c r="B71" t="str">
        <f>VLOOKUP(A71,'LibFilters-3.0 filterPanelIds'!$A$2:$C$999,3,FALSE)</f>
        <v>Player to player trade</v>
      </c>
      <c r="C71" s="10" t="s">
        <v>96</v>
      </c>
    </row>
    <row r="72" spans="1:12" x14ac:dyDescent="0.25">
      <c r="A72" s="5" t="s">
        <v>51</v>
      </c>
      <c r="B72" t="str">
        <f>VLOOKUP(A72,'LibFilters-3.0 filterPanelIds'!$A$2:$C$999,3,FALSE)</f>
        <v>Player to player trade</v>
      </c>
      <c r="C72" s="9" t="s">
        <v>95</v>
      </c>
      <c r="G72" s="14" t="s">
        <v>138</v>
      </c>
      <c r="H72" t="s">
        <v>100</v>
      </c>
      <c r="I72" s="11" t="s">
        <v>98</v>
      </c>
    </row>
    <row r="73" spans="1:12" x14ac:dyDescent="0.25">
      <c r="A73" s="5" t="s">
        <v>44</v>
      </c>
      <c r="B73" t="str">
        <f>VLOOKUP(A73,'LibFilters-3.0 filterPanelIds'!$A$2:$C$999,3,FALSE)</f>
        <v>Vendor Buy</v>
      </c>
      <c r="C73" s="10" t="s">
        <v>96</v>
      </c>
    </row>
    <row r="74" spans="1:12" x14ac:dyDescent="0.25">
      <c r="A74" s="5" t="s">
        <v>44</v>
      </c>
      <c r="B74" t="str">
        <f>VLOOKUP(A74,'LibFilters-3.0 filterPanelIds'!$A$2:$C$999,3,FALSE)</f>
        <v>Vendor Buy</v>
      </c>
      <c r="C74" s="9" t="s">
        <v>95</v>
      </c>
      <c r="G74" s="14" t="s">
        <v>128</v>
      </c>
      <c r="H74" t="s">
        <v>111</v>
      </c>
      <c r="I74" s="11" t="s">
        <v>98</v>
      </c>
    </row>
    <row r="75" spans="1:12" x14ac:dyDescent="0.25">
      <c r="A75" s="5" t="s">
        <v>46</v>
      </c>
      <c r="B75" t="str">
        <f>VLOOKUP(A75,'LibFilters-3.0 filterPanelIds'!$A$2:$C$999,3,FALSE)</f>
        <v>Vendor Buyback</v>
      </c>
      <c r="C75" s="10" t="s">
        <v>96</v>
      </c>
    </row>
    <row r="76" spans="1:12" x14ac:dyDescent="0.25">
      <c r="A76" s="5" t="s">
        <v>46</v>
      </c>
      <c r="B76" t="str">
        <f>VLOOKUP(A76,'LibFilters-3.0 filterPanelIds'!$A$2:$C$999,3,FALSE)</f>
        <v>Vendor Buyback</v>
      </c>
      <c r="C76" s="9" t="s">
        <v>95</v>
      </c>
      <c r="G76" s="14" t="s">
        <v>132</v>
      </c>
      <c r="H76" t="s">
        <v>111</v>
      </c>
      <c r="I76" s="11" t="s">
        <v>98</v>
      </c>
    </row>
    <row r="77" spans="1:12" x14ac:dyDescent="0.25">
      <c r="A77" s="5" t="s">
        <v>47</v>
      </c>
      <c r="B77" t="str">
        <f>VLOOKUP(A77,'LibFilters-3.0 filterPanelIds'!$A$2:$C$999,3,FALSE)</f>
        <v>Vendor Repair</v>
      </c>
      <c r="C77" s="10" t="s">
        <v>96</v>
      </c>
    </row>
    <row r="78" spans="1:12" x14ac:dyDescent="0.25">
      <c r="A78" s="5" t="s">
        <v>47</v>
      </c>
      <c r="B78" t="str">
        <f>VLOOKUP(A78,'LibFilters-3.0 filterPanelIds'!$A$2:$C$999,3,FALSE)</f>
        <v>Vendor Repair</v>
      </c>
      <c r="C78" s="9" t="s">
        <v>95</v>
      </c>
      <c r="G78" s="14" t="s">
        <v>133</v>
      </c>
      <c r="H78" t="s">
        <v>111</v>
      </c>
      <c r="I78" s="11" t="s">
        <v>98</v>
      </c>
    </row>
    <row r="79" spans="1:12" x14ac:dyDescent="0.25">
      <c r="A79" s="5" t="s">
        <v>45</v>
      </c>
      <c r="B79" t="str">
        <f>VLOOKUP(A79,'LibFilters-3.0 filterPanelIds'!$A$2:$C$999,3,FALSE)</f>
        <v>Vendor Sell</v>
      </c>
      <c r="C79" s="10" t="s">
        <v>96</v>
      </c>
    </row>
    <row r="80" spans="1:12" x14ac:dyDescent="0.25">
      <c r="A80" s="5" t="s">
        <v>45</v>
      </c>
      <c r="B80" t="str">
        <f>VLOOKUP(A80,'LibFilters-3.0 filterPanelIds'!$A$2:$C$999,3,FALSE)</f>
        <v>Vendor Sell</v>
      </c>
      <c r="C80" s="9" t="s">
        <v>95</v>
      </c>
      <c r="G80" s="14" t="s">
        <v>129</v>
      </c>
      <c r="H80" t="s">
        <v>100</v>
      </c>
      <c r="I80" s="11" t="s">
        <v>98</v>
      </c>
      <c r="L80" t="s">
        <v>130</v>
      </c>
    </row>
    <row r="81" spans="1:12" x14ac:dyDescent="0.25">
      <c r="A81" s="5" t="s">
        <v>63</v>
      </c>
      <c r="B81" t="str">
        <f>VLOOKUP(A81,'LibFilters-3.0 filterPanelIds'!$A$2:$C$999,3,FALSE)</f>
        <v>Cyrodiil Vengeance vendor Sell</v>
      </c>
      <c r="C81" s="10" t="s">
        <v>96</v>
      </c>
    </row>
    <row r="82" spans="1:12" x14ac:dyDescent="0.25">
      <c r="A82" s="5" t="s">
        <v>63</v>
      </c>
      <c r="B82" t="str">
        <f>VLOOKUP(A82,'LibFilters-3.0 filterPanelIds'!$A$2:$C$999,3,FALSE)</f>
        <v>Cyrodiil Vengeance vendor Sell</v>
      </c>
      <c r="C82" s="9" t="s">
        <v>95</v>
      </c>
      <c r="G82" s="14" t="s">
        <v>129</v>
      </c>
      <c r="H82" t="s">
        <v>100</v>
      </c>
      <c r="I82" s="11" t="s">
        <v>98</v>
      </c>
      <c r="L82" t="s">
        <v>131</v>
      </c>
    </row>
  </sheetData>
  <autoFilter ref="A1:L82" xr:uid="{00000000-0001-0000-0000-000000000000}"/>
  <sortState xmlns:xlrd2="http://schemas.microsoft.com/office/spreadsheetml/2017/richdata2" ref="A2:K82">
    <sortCondition ref="A2:A82"/>
    <sortCondition ref="C2:C82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LibFilters-3.0 filterPanelIds</vt:lpstr>
      <vt:lpstr>LibFilters-3.0 helpers 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P. Z.</dc:creator>
  <cp:lastModifiedBy>Ziegelt, Patrik</cp:lastModifiedBy>
  <dcterms:created xsi:type="dcterms:W3CDTF">2015-06-05T18:19:34Z</dcterms:created>
  <dcterms:modified xsi:type="dcterms:W3CDTF">2025-12-12T19:45:20Z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2025-12-12T18:43:50Z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56fab495-c1cb-4331-bf85-2576ad94baa0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