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Q:\Tools\!Spiele\TESO\Addons\!!! Libraries\LibFilters-3.0\!!Helpers\"/>
    </mc:Choice>
  </mc:AlternateContent>
  <xr:revisionPtr revIDLastSave="0" documentId="13_ncr:1_{220F3A51-E770-494D-B2B6-68B3475A8B96}" xr6:coauthVersionLast="47" xr6:coauthVersionMax="47" xr10:uidLastSave="{00000000-0000-0000-0000-000000000000}"/>
  <bookViews>
    <workbookView xWindow="28950" yWindow="945" windowWidth="27780" windowHeight="14040" activeTab="1" xr2:uid="{00000000-000D-0000-FFFF-FFFF00000000}"/>
  </bookViews>
  <sheets>
    <sheet name="LibFilters3 filterPanelIds" sheetId="2" r:id="rId1"/>
    <sheet name="LibFilters3 .additionalFilter" sheetId="1" r:id="rId2"/>
    <sheet name="LibFilters3 helper" sheetId="3" r:id="rId3"/>
  </sheets>
  <definedNames>
    <definedName name="_xlnm._FilterDatabase" localSheetId="1" hidden="1">'LibFilters3 .additionalFilter'!$A$2:$O$83</definedName>
    <definedName name="_xlnm._FilterDatabase" localSheetId="0" hidden="1">'LibFilters3 filterPanelIds'!$A$2:$D$45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1" l="1"/>
  <c r="B7" i="1"/>
  <c r="B5" i="1"/>
  <c r="B25" i="1"/>
  <c r="B23" i="1"/>
  <c r="B74" i="1"/>
  <c r="B80" i="1"/>
  <c r="B76" i="1"/>
  <c r="B78" i="1"/>
  <c r="B27" i="1"/>
  <c r="B28" i="1"/>
  <c r="B53" i="1"/>
  <c r="B72" i="1"/>
  <c r="B66" i="1"/>
  <c r="B62" i="1"/>
  <c r="B64" i="1"/>
  <c r="B68" i="1"/>
  <c r="B3" i="1"/>
  <c r="B11" i="1"/>
  <c r="B13" i="1"/>
  <c r="B56" i="1"/>
  <c r="B55" i="1"/>
  <c r="B17" i="1"/>
  <c r="B15" i="1"/>
  <c r="B9" i="1"/>
  <c r="B57" i="1"/>
  <c r="B59" i="1"/>
  <c r="B32" i="1"/>
  <c r="B30" i="1"/>
  <c r="B47" i="1"/>
  <c r="B43" i="1"/>
  <c r="B45" i="1"/>
  <c r="B49" i="1"/>
  <c r="B70" i="1"/>
  <c r="B51" i="1"/>
  <c r="B38" i="1"/>
  <c r="B36" i="1"/>
  <c r="B21" i="1"/>
  <c r="B19" i="1"/>
  <c r="B40" i="1"/>
  <c r="B82" i="1"/>
  <c r="B12" i="1"/>
  <c r="B14" i="1"/>
  <c r="B18" i="1"/>
  <c r="B16" i="1"/>
  <c r="B10" i="1"/>
  <c r="B58" i="1"/>
  <c r="B60" i="1"/>
  <c r="B33" i="1"/>
  <c r="B31" i="1"/>
  <c r="B48" i="1"/>
  <c r="B42" i="1"/>
  <c r="B44" i="1"/>
  <c r="B46" i="1"/>
  <c r="B50" i="1"/>
  <c r="B71" i="1"/>
  <c r="B52" i="1"/>
  <c r="B39" i="1"/>
  <c r="B37" i="1"/>
  <c r="B22" i="1"/>
  <c r="B20" i="1"/>
  <c r="B41" i="1"/>
  <c r="B83" i="1"/>
  <c r="B8" i="1"/>
  <c r="B6" i="1"/>
  <c r="B26" i="1"/>
  <c r="B24" i="1"/>
  <c r="B75" i="1"/>
  <c r="B81" i="1"/>
  <c r="B77" i="1"/>
  <c r="B79" i="1"/>
  <c r="B29" i="1"/>
  <c r="B54" i="1"/>
  <c r="B73" i="1"/>
  <c r="B67" i="1"/>
  <c r="B61" i="1"/>
  <c r="B63" i="1"/>
  <c r="B65" i="1"/>
  <c r="B69" i="1"/>
  <c r="B4" i="1"/>
  <c r="B35" i="1"/>
</calcChain>
</file>

<file path=xl/sharedStrings.xml><?xml version="1.0" encoding="utf-8"?>
<sst xmlns="http://schemas.openxmlformats.org/spreadsheetml/2006/main" count="699" uniqueCount="184">
  <si>
    <t>LF_SMITHING_REFINE</t>
  </si>
  <si>
    <t>LF_SMITHING_DECONSTRUCT</t>
  </si>
  <si>
    <t>Smithing refinement</t>
  </si>
  <si>
    <t>Smithing deconstruction</t>
  </si>
  <si>
    <t>Smithing creation</t>
  </si>
  <si>
    <t>LF_SMITHING_CREATION</t>
  </si>
  <si>
    <t>Currently not implemented</t>
  </si>
  <si>
    <t>LF_SMITHING_IMPROVEMENT</t>
  </si>
  <si>
    <t>LF_SMITHING_RESEARCH</t>
  </si>
  <si>
    <t>LF_SMITHING_RESEARCH_DIALOG</t>
  </si>
  <si>
    <t>Smithing research item selection popup</t>
  </si>
  <si>
    <t>Smithing research trait list</t>
  </si>
  <si>
    <t>Smithing improvement</t>
  </si>
  <si>
    <t>LF_JEWELRY_REFINE</t>
  </si>
  <si>
    <t>LF_JEWELRY_CREATION</t>
  </si>
  <si>
    <t>LF_JEWELRY_DECONSTRUCT</t>
  </si>
  <si>
    <t>LF_JEWELRY_IMPROVEMENT</t>
  </si>
  <si>
    <t>LF_JEWELRY_RESEARCH</t>
  </si>
  <si>
    <t>LF_JEWELRY_RESEARCH_DIALOG</t>
  </si>
  <si>
    <t>Jewelry crafting refinement</t>
  </si>
  <si>
    <t>Jewelry crafting creation</t>
  </si>
  <si>
    <t>Jewelry crafting deconstruction</t>
  </si>
  <si>
    <t>Jewelry crafting improvement</t>
  </si>
  <si>
    <t>Jewelry crafting research trait list</t>
  </si>
  <si>
    <t>Jewelry crafting research item selection popup</t>
  </si>
  <si>
    <t>LF_ALCHEMY_CREATION</t>
  </si>
  <si>
    <t>LF_PROVISIONING_COOK</t>
  </si>
  <si>
    <t>LF_PROVISIONING_BREW</t>
  </si>
  <si>
    <t>Provisioner brewing drinks</t>
  </si>
  <si>
    <t>Provisioner cooking food</t>
  </si>
  <si>
    <t>Alchemy potion or poison creation</t>
  </si>
  <si>
    <t>LF_RETRAIT</t>
  </si>
  <si>
    <t>Retrait station's retrait panel</t>
  </si>
  <si>
    <t>Universal deconstruction is automatically detected and uses the same LibFilter's
filterPanelIds, just enhances some API functions by returning the currently active UniversalDeconstruction UI's tab "all", "armor", "weapons", "enchanting", "jewelry"</t>
  </si>
  <si>
    <t>LF_ENCHANTING_CREATION</t>
  </si>
  <si>
    <t>LF_ENCHANTING_EXTRACTION</t>
  </si>
  <si>
    <t>Enchanting table's glyph extraction</t>
  </si>
  <si>
    <t>Enchanting table's glyph creation</t>
  </si>
  <si>
    <t>LF_INVENTORY</t>
  </si>
  <si>
    <t>Player inventory</t>
  </si>
  <si>
    <t>LF_BANK_WITHDRAW</t>
  </si>
  <si>
    <t>LF_BANK_DEPOSIT</t>
  </si>
  <si>
    <t>LF_GUILDBANK_WITHDRAW</t>
  </si>
  <si>
    <t>LF_GUILDBANK_DEPOSIT</t>
  </si>
  <si>
    <t>LF_VENDOR_BUY</t>
  </si>
  <si>
    <t>LF_VENDOR_SELL</t>
  </si>
  <si>
    <t>LF_VENDOR_BUYBACK</t>
  </si>
  <si>
    <t>LF_VENDOR_REPAIR</t>
  </si>
  <si>
    <t>LF_GUILDSTORE_BROWSE</t>
  </si>
  <si>
    <t>LF_GUILDSTORE_SELL</t>
  </si>
  <si>
    <t>LF_MAIL_SEND</t>
  </si>
  <si>
    <t>LF_TRADE</t>
  </si>
  <si>
    <t>LF_FENCE_SELL</t>
  </si>
  <si>
    <t>LF_FENCE_LAUNDER</t>
  </si>
  <si>
    <t>LF_CRAFTBAG</t>
  </si>
  <si>
    <t>LF_QUICKSLOT</t>
  </si>
  <si>
    <t>LF_HOUSE_BANK_WITHDRAW</t>
  </si>
  <si>
    <t>LF_HOUSE_BANK_DEPOSIT</t>
  </si>
  <si>
    <t>LF_INVENTORY_QUEST</t>
  </si>
  <si>
    <t>LF_INVENTORY_COMPANION</t>
  </si>
  <si>
    <t>LF_FURNITURE_VAULT_WITHDRAW</t>
  </si>
  <si>
    <t>LF_FURNITURE_VAULT_DEPOSIT</t>
  </si>
  <si>
    <t>LF_INVENTORY_VENGEANCE</t>
  </si>
  <si>
    <t>LF_VENDOR_SELL_VENGEANCE</t>
  </si>
  <si>
    <t>LibFilters filterPanelId constant</t>
  </si>
  <si>
    <t>Value</t>
  </si>
  <si>
    <t>Descritption</t>
  </si>
  <si>
    <t>Fence vendor sell</t>
  </si>
  <si>
    <t>Fence vendor launder</t>
  </si>
  <si>
    <t>CraftBag</t>
  </si>
  <si>
    <t>House bank 1 to 10 Withdraw</t>
  </si>
  <si>
    <t>House bank 1 to 10 Deposit</t>
  </si>
  <si>
    <t>Inventory quest items</t>
  </si>
  <si>
    <t>Player to player trade</t>
  </si>
  <si>
    <t>Mail send</t>
  </si>
  <si>
    <t>Guildstore / Tradinghouse Sell</t>
  </si>
  <si>
    <t>Guildstore / Tradinghouse Search</t>
  </si>
  <si>
    <t>Vendor Repair</t>
  </si>
  <si>
    <t>Vendor Buyback</t>
  </si>
  <si>
    <t>Vendor Sell</t>
  </si>
  <si>
    <t>Vendor Buy</t>
  </si>
  <si>
    <t>Guildbank Deposit</t>
  </si>
  <si>
    <t>Guildbank Withdraw</t>
  </si>
  <si>
    <t>Player bank Withdraw</t>
  </si>
  <si>
    <t>Player bank Deposit</t>
  </si>
  <si>
    <t>B</t>
  </si>
  <si>
    <t>.additionalFilter object type (Object/Fragment/…)</t>
  </si>
  <si>
    <t>Object, where the .additionalFilter
functions are stored?</t>
  </si>
  <si>
    <t>K</t>
  </si>
  <si>
    <t>G</t>
  </si>
  <si>
    <t>Uses vanilla .additionalFilter function?</t>
  </si>
  <si>
    <t>X</t>
  </si>
  <si>
    <t>Fragment</t>
  </si>
  <si>
    <t>2 hooked objects here because ZO_InventoryManager:ApplyBackpackLayout(layoutData) changes PLAYER_INVENTORY.inventories[INVENTORY_BACKPACK].additionalFilter from layoutData.additionalFilter, 
where layoutData could be from fragment BACKPACK_MENU_BAR_LAYOUT_FRAGMENT "or others" -&gt; thus we need to hook both</t>
  </si>
  <si>
    <t>BACKPACK_MENU_BAR_LAYOUT_FRAGMENT.layoutData</t>
  </si>
  <si>
    <t>PLAYER_INVENTORY.inventories[INVENTORY_CRAFT_BAG].additionalFilter gets updated each time from layoutData.additionalCraftBagFilter, as ZO_InventoryManager:ApplyBackpackLayout(layoutData) is called.
Attention: As LF_INVENTORY and LF_CRAFTBAG both get hooked via fragment BACKPACK_MENU_BAR_LAYOUT_FRAGMENT it needs to be applied a
fix at ZO_InventoryManager:ApplyBackpackLayout in order to update layoutData.LibFilters3_filterType with the correct filterType, 
LF_INVENTORY or LF_CRAFTBAG! See file LibFilters-3.0.lua, function hookNow
Else the last hooked one (LF_CRAFTBAG) will be kept as layoutData.LibFilters3_filterType all the time and filtering wont properly work</t>
  </si>
  <si>
    <t>table (Inventory)</t>
  </si>
  <si>
    <t>QUICKSLOT_KEYBOARD</t>
  </si>
  <si>
    <t>COMPANION_EQUIPMENT_KEYBOARD</t>
  </si>
  <si>
    <t>table</t>
  </si>
  <si>
    <t>table (inventory)</t>
  </si>
  <si>
    <t>BACKPACK_BANK_LAYOUT_FRAGMENT.layoutData</t>
  </si>
  <si>
    <t>BACKPACK_GUILD_BANK_LAYOUT_FRAGMENT.layoutData</t>
  </si>
  <si>
    <t>Object for
.additionalFilter
is vanilla?</t>
  </si>
  <si>
    <t>LibFilters helper.lua:
Overwritten function</t>
  </si>
  <si>
    <t>LibFilters helper.lua:
Object/Class/... of overwritten function</t>
  </si>
  <si>
    <t>Implementation comments/Important notes</t>
  </si>
  <si>
    <t>LibFilters:
filterPanelId</t>
  </si>
  <si>
    <t>LibFilters filterPanelId:
Description</t>
  </si>
  <si>
    <r>
      <rPr>
        <b/>
        <sz val="11"/>
        <rFont val="Calibri"/>
        <family val="2"/>
        <scheme val="minor"/>
      </rPr>
      <t>Implementation:</t>
    </r>
    <r>
      <rPr>
        <b/>
        <sz val="11"/>
        <color rgb="FF00B0F0"/>
        <rFont val="Calibri"/>
        <family val="2"/>
        <scheme val="minor"/>
      </rPr>
      <t xml:space="preserve">
K</t>
    </r>
    <r>
      <rPr>
        <b/>
        <sz val="11"/>
        <color theme="1"/>
        <rFont val="Calibri"/>
        <family val="2"/>
        <scheme val="minor"/>
      </rPr>
      <t xml:space="preserve">eyboard/
</t>
    </r>
    <r>
      <rPr>
        <b/>
        <sz val="11"/>
        <color theme="5" tint="-0.249977111117893"/>
        <rFont val="Calibri"/>
        <family val="2"/>
        <scheme val="minor"/>
      </rPr>
      <t>G</t>
    </r>
    <r>
      <rPr>
        <b/>
        <sz val="11"/>
        <color theme="1"/>
        <rFont val="Calibri"/>
        <family val="2"/>
        <scheme val="minor"/>
      </rPr>
      <t>amepad/
Both</t>
    </r>
  </si>
  <si>
    <t>BACKPACK_HOUSE_BANK_LAYOUT_FRAGMENT.layoutData</t>
  </si>
  <si>
    <t>LibFilters Callback:
"On SHOW" name</t>
  </si>
  <si>
    <t>LibFilters Callback:
"On HIDE" name</t>
  </si>
  <si>
    <t>STORE_WINDOW</t>
  </si>
  <si>
    <t>BACKPACK_STORE_LAYOUT_FRAGMENT.layoutData</t>
  </si>
  <si>
    <t>Uses the same as Cyrodiil Vengeance vendor sell (will be updated one filterPanelId switches)</t>
  </si>
  <si>
    <t>Uses the same as Vendor sell (will be updated one filterPanelId switches)</t>
  </si>
  <si>
    <t>BUY_BACK_WINDOW</t>
  </si>
  <si>
    <t>REPAIR_WINDOW</t>
  </si>
  <si>
    <t>BACKPACK_FENCE_LAYOUT_FRAGMENT.layoutData</t>
  </si>
  <si>
    <t>BACKPACK_FURNITURE_VAULT_LAYOUT_FRAGMENT.layoutData</t>
  </si>
  <si>
    <t>BACKPACK_LAUNDER_LAYOUT_FRAGMENT.layoutData</t>
  </si>
  <si>
    <t>BACKPACK_TRADING_HOUSE_LAYOUT_FRAGMENT.layoutData</t>
  </si>
  <si>
    <t>BACKPACK_MAIL_LAYOUT_FRAGMENT.layoutData</t>
  </si>
  <si>
    <t>BACKPACK_PLAYER_TRADE_LAYOUT_FRAGMENT.layoutData</t>
  </si>
  <si>
    <t>SMITHING_RESEARCH_SELECT</t>
  </si>
  <si>
    <t>userdata</t>
  </si>
  <si>
    <t>filterPanelId will be checked via GetCraftingInteractionType(), if this returns jewelry then it will be the LF_JEWELRY_*, else LF_SMITHING_*</t>
  </si>
  <si>
    <t>ALCHEMY_SCENE</t>
  </si>
  <si>
    <t>Scene</t>
  </si>
  <si>
    <t>ZO_RETRAIT_KEYBOARD</t>
  </si>
  <si>
    <t>COMPANION_EQUIPMENT_GAMEPAD</t>
  </si>
  <si>
    <t>None, uses vanilla ZOs</t>
  </si>
  <si>
    <t>ZOs vanilla filter function:</t>
  </si>
  <si>
    <t>Universal deconstruction is automatically detected and uses the same LibFilter's
filterPanelIds, just enhances some API functions by returning the currently active UniversalDeconstruction UI's tab "all", "armor", "weapons", "enchanting", "jewelry"
filterPanelId will be checked via GetCraftingInteractionType(), if this returns jewelry then it will be the LF_JEWELRY_*, else LF_SMITHING_*</t>
  </si>
  <si>
    <t>Comment / Implementation notes</t>
  </si>
  <si>
    <t>Companion inventory (Equipment)</t>
  </si>
  <si>
    <t>Furniture vault Withdraw (ESO+ Housing)</t>
  </si>
  <si>
    <t>Furniture vault Deposit (ESO+ Housing)</t>
  </si>
  <si>
    <t>Cyrodiil Vengeance campaign inventory</t>
  </si>
  <si>
    <t>Cyrodiil Vengeance campaign vendor Sell</t>
  </si>
  <si>
    <t>Quickslot wheel's inventory</t>
  </si>
  <si>
    <t>LibFilters-3.0 helper.lua: Overwrites vanila ZOs objects/functions/etc. in order to make the filterFunctions work and read the .additionalFilter table at the objects/fragments/scenes/userdata where LibFilters has added them</t>
  </si>
  <si>
    <t>LibFilters-3.0 filterPanelIds are global constants in table _G which can be used to identify an actively shown UI, and (Un)Register custom filterFunctions to them, to hide items at these inventories/lists.</t>
  </si>
  <si>
    <t>ZO_GamepadStoreBuy</t>
  </si>
  <si>
    <t>.additionalFilter is the function at e.g. an inventory fragment's layoutData/a scene/a fragment/an object/some userdata where the filterFunctions (vanilla + customs all combined in 1 function) are stored, that are executed once the inventory filters are executed (e.g. only show unbound items at the
trade/mail panel, or only show non-stolen at bank deposit). LibFilters-3.0 uses these existing .additionalFilter, or adds them new to defined objects, or even new created custom fragments (Gamepad) so addons can Register their custom filterFunctions in add. to the vanilla filterFunction.</t>
  </si>
  <si>
    <t>ZO_GamepadStoreSell</t>
  </si>
  <si>
    <t>ZO_GamepadStoreSellVengeance</t>
  </si>
  <si>
    <t>ZO_GamepadStoreBuyback</t>
  </si>
  <si>
    <t>ZO_GamepadStoreRepair</t>
  </si>
  <si>
    <t>ZO_GamepadFenceSell</t>
  </si>
  <si>
    <t>ZO_GamepadFenceLaunder</t>
  </si>
  <si>
    <t>GAMEPAD_SMITHING_RESEARCH_CONFIRM_SCENE</t>
  </si>
  <si>
    <t>GAMEPAD_ENCHANTING_CREATION_SCENE</t>
  </si>
  <si>
    <t>GAMEPAD_ENCHANTING_EXTRACTION_SCENE</t>
  </si>
  <si>
    <t>Custom LibFilters Fragment</t>
  </si>
  <si>
    <t>LIBFILTERS3_BACKPACK_BANK_DEPOSIT_GAMEPAD_FRAGMENT.layoutData</t>
  </si>
  <si>
    <t>LIBFILTERS3_BACKPACK_FURNITURE_VAULT_DEPOSIT_GAMEPAD_FRAGMENT.layoutData</t>
  </si>
  <si>
    <t>LIBFILTERS3_BACKPACK_GUILD_BANK_DEPOSIT_GAMEPAD_FRAGMENT.layoutData</t>
  </si>
  <si>
    <t>LIBFILTERS3_BACKPACK_TRADING_HOUSE_SELL_GAMEPAD_FRAGMENT.layoutData</t>
  </si>
  <si>
    <t>LIBFILTERS3_BACKPACK_HOUSE_BANK_DEPOSIT_GAMEPAD_FRAGMENT.layoutData</t>
  </si>
  <si>
    <t>LIBFILTERS3_BACKPACK_INVENTORY_GAMEPAD_FRAGMENT.layoutData</t>
  </si>
  <si>
    <t>LIBFILTERS3_BACKPACK_INVENTORY_QUEST_GAMEPAD_FRAGMENT.layoutData</t>
  </si>
  <si>
    <t>LIBFILTERS3_BACKPACK_MAIL_SEND_GAMEPAD_FRAGMENT.layoutData</t>
  </si>
  <si>
    <t>GAMEPAD_QUICKSLOT_FRAGMENT.layoutData</t>
  </si>
  <si>
    <t>LIFILTERS3_BACKPACK_PLAYER_TRADE_GAMEPAD_FRAGMENT.layoutData</t>
  </si>
  <si>
    <r>
      <t>PLAYER_INVENTORIES.inventories[</t>
    </r>
    <r>
      <rPr>
        <sz val="11"/>
        <color theme="5" tint="-0.249977111117893"/>
        <rFont val="Calibri"/>
        <family val="2"/>
        <scheme val="minor"/>
      </rPr>
      <t>INVENTORY_BANK</t>
    </r>
    <r>
      <rPr>
        <sz val="11"/>
        <color rgb="FF0070C0"/>
        <rFont val="Calibri"/>
        <family val="2"/>
        <scheme val="minor"/>
      </rPr>
      <t>]</t>
    </r>
  </si>
  <si>
    <r>
      <t>PLAYER_INVENTORIES.inventories[</t>
    </r>
    <r>
      <rPr>
        <sz val="11"/>
        <color theme="5" tint="-0.249977111117893"/>
        <rFont val="Calibri"/>
        <family val="2"/>
        <scheme val="minor"/>
      </rPr>
      <t>INVENTORY_CRAFT_BAG</t>
    </r>
    <r>
      <rPr>
        <sz val="11"/>
        <color rgb="FF0070C0"/>
        <rFont val="Calibri"/>
        <family val="2"/>
        <scheme val="minor"/>
      </rPr>
      <t>]</t>
    </r>
  </si>
  <si>
    <r>
      <t>PLAYER_INVENTORIES.inventories[</t>
    </r>
    <r>
      <rPr>
        <sz val="11"/>
        <color theme="5" tint="-0.249977111117893"/>
        <rFont val="Calibri"/>
        <family val="2"/>
        <scheme val="minor"/>
      </rPr>
      <t>INVENTORY_GUILD_BANK</t>
    </r>
    <r>
      <rPr>
        <sz val="11"/>
        <color rgb="FF0070C0"/>
        <rFont val="Calibri"/>
        <family val="2"/>
        <scheme val="minor"/>
      </rPr>
      <t>]</t>
    </r>
  </si>
  <si>
    <r>
      <t>PLAYER_INVENTORIES.inventories[</t>
    </r>
    <r>
      <rPr>
        <sz val="11"/>
        <color theme="5" tint="-0.249977111117893"/>
        <rFont val="Calibri"/>
        <family val="2"/>
        <scheme val="minor"/>
      </rPr>
      <t>INVENTORY_HOUSE_BANK</t>
    </r>
    <r>
      <rPr>
        <sz val="11"/>
        <color rgb="FF0070C0"/>
        <rFont val="Calibri"/>
        <family val="2"/>
        <scheme val="minor"/>
      </rPr>
      <t>]</t>
    </r>
  </si>
  <si>
    <r>
      <t>PLAYER_INVENTORIES.inventories[</t>
    </r>
    <r>
      <rPr>
        <sz val="11"/>
        <color theme="5" tint="-0.249977111117893"/>
        <rFont val="Calibri"/>
        <family val="2"/>
        <scheme val="minor"/>
      </rPr>
      <t>INVENTORY_QUEST_ITEM</t>
    </r>
    <r>
      <rPr>
        <sz val="11"/>
        <color rgb="FF0070C0"/>
        <rFont val="Calibri"/>
        <family val="2"/>
        <scheme val="minor"/>
      </rPr>
      <t>]</t>
    </r>
  </si>
  <si>
    <r>
      <t>PLAYER_INVENTORIES.inventories[</t>
    </r>
    <r>
      <rPr>
        <sz val="11"/>
        <color theme="5" tint="-0.249977111117893"/>
        <rFont val="Calibri"/>
        <family val="2"/>
        <scheme val="minor"/>
      </rPr>
      <t>INVENTORY_VENGEANCE</t>
    </r>
    <r>
      <rPr>
        <sz val="11"/>
        <color rgb="FF0070C0"/>
        <rFont val="Calibri"/>
        <family val="2"/>
        <scheme val="minor"/>
      </rPr>
      <t>]</t>
    </r>
  </si>
  <si>
    <r>
      <rPr>
        <sz val="10"/>
        <color theme="5" tint="-0.249977111117893"/>
        <rFont val="Consolas"/>
        <family val="3"/>
      </rPr>
      <t>SMITHING</t>
    </r>
    <r>
      <rPr>
        <sz val="10"/>
        <color rgb="FF080808"/>
        <rFont val="Consolas"/>
        <family val="3"/>
      </rPr>
      <t>.creationPanel</t>
    </r>
  </si>
  <si>
    <r>
      <rPr>
        <sz val="10"/>
        <color theme="5" tint="-0.249977111117893"/>
        <rFont val="Consolas"/>
        <family val="3"/>
      </rPr>
      <t>SMITHING</t>
    </r>
    <r>
      <rPr>
        <sz val="10"/>
        <color rgb="FF080808"/>
        <rFont val="Consolas"/>
        <family val="3"/>
      </rPr>
      <t>.deconstructionPanel</t>
    </r>
  </si>
  <si>
    <r>
      <rPr>
        <sz val="10"/>
        <color theme="5" tint="-0.249977111117893"/>
        <rFont val="Consolas"/>
        <family val="3"/>
      </rPr>
      <t>SMITHING</t>
    </r>
    <r>
      <rPr>
        <sz val="10"/>
        <color rgb="FF080808"/>
        <rFont val="Consolas"/>
        <family val="3"/>
      </rPr>
      <t>.improvementPanel</t>
    </r>
  </si>
  <si>
    <r>
      <rPr>
        <sz val="10"/>
        <color theme="5" tint="-0.249977111117893"/>
        <rFont val="Consolas"/>
        <family val="3"/>
      </rPr>
      <t>SMITHING</t>
    </r>
    <r>
      <rPr>
        <sz val="10"/>
        <color rgb="FF080808"/>
        <rFont val="Consolas"/>
        <family val="3"/>
      </rPr>
      <t>.refinementPanel</t>
    </r>
  </si>
  <si>
    <r>
      <rPr>
        <sz val="10"/>
        <color theme="5" tint="-0.249977111117893"/>
        <rFont val="Consolas"/>
        <family val="3"/>
      </rPr>
      <t>SMITHING</t>
    </r>
    <r>
      <rPr>
        <sz val="10"/>
        <color rgb="FF080808"/>
        <rFont val="Consolas"/>
        <family val="3"/>
      </rPr>
      <t>.researchPanel</t>
    </r>
  </si>
  <si>
    <t>LIBFILTERS3_BACKPACK_INVENTORY_VENGEANCE_GAMEPAD_FRAGMENT.layoutData</t>
  </si>
  <si>
    <t>LIBFILTERS3_BACKPACK_CRAFTBAG_GAMEPAD_FRAGMENT.layoutData</t>
  </si>
  <si>
    <t>Fallback to keyboard implementation (means: Uses same objects for .additionalFilter function)</t>
  </si>
  <si>
    <r>
      <t>PLAYER_INVENTORIES.inventories[</t>
    </r>
    <r>
      <rPr>
        <sz val="11"/>
        <color theme="5" tint="-0.249977111117893"/>
        <rFont val="Calibri"/>
        <family val="2"/>
        <scheme val="minor"/>
      </rPr>
      <t>INVENTORY_FURNITURE_VAULT</t>
    </r>
    <r>
      <rPr>
        <sz val="11"/>
        <color rgb="FF0070C0"/>
        <rFont val="Calibri"/>
        <family val="2"/>
        <scheme val="minor"/>
      </rPr>
      <t>]</t>
    </r>
  </si>
  <si>
    <t>filterPanelId will be checked via GetCraftingInteractionType(), if this returns jewelry then it will be the LF_JEWELRY_*, else LF_SMITHING_*
Fallback to keyboard implementation (means: Uses same objects for .additionalFilter function)</t>
  </si>
  <si>
    <t>FilterPanelId  .additionalFilter implemented?</t>
  </si>
  <si>
    <t>Callback SHOW/HIDE implemented?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</si>
</sst>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b/>
      <sz val="11"/>
      <color theme="1"/>
      <name val="Calibri"/>
      <family val="2"/>
      <scheme val="minor"/>
    </font>
    <font>
      <b/>
      <sz val="11"/>
      <color rgb="FF00B0F0"/>
      <name val="Calibri"/>
      <family val="2"/>
      <scheme val="minor"/>
    </font>
    <font>
      <b/>
      <sz val="11"/>
      <name val="Calibri"/>
      <family val="2"/>
      <scheme val="minor"/>
    </font>
    <font>
      <b/>
      <sz val="11"/>
      <color theme="5" tint="-0.249977111117893"/>
      <name val="Calibri"/>
      <family val="2"/>
      <scheme val="minor"/>
    </font>
    <font>
      <sz val="10"/>
      <color rgb="FF080808"/>
      <name val="Consolas"/>
      <family val="3"/>
    </font>
    <font>
      <sz val="10"/>
      <color rgb="FF067D17"/>
      <name val="Consolas"/>
      <family val="3"/>
    </font>
    <font>
      <b/>
      <strike/>
      <sz val="11"/>
      <color rgb="FFFF0000"/>
      <name val="Calibri"/>
      <family val="2"/>
      <scheme val="minor"/>
    </font>
    <font>
      <sz val="11"/>
      <color rgb="FF00B0F0"/>
      <name val="Calibri"/>
      <family val="2"/>
      <scheme val="minor"/>
    </font>
    <font>
      <sz val="11"/>
      <color theme="5" tint="-0.249977111117893"/>
      <name val="Calibri"/>
      <family val="2"/>
      <scheme val="minor"/>
    </font>
    <font>
      <i/>
      <sz val="10"/>
      <color rgb="FF646262"/>
      <name val="Consolas"/>
      <family val="3"/>
    </font>
    <font>
      <sz val="10"/>
      <color rgb="FFCC542E"/>
      <name val="Consolas"/>
      <family val="3"/>
    </font>
    <font>
      <sz val="10"/>
      <color rgb="FF343434"/>
      <name val="Consolas"/>
      <family val="3"/>
    </font>
    <font>
      <sz val="11"/>
      <name val="Calibri"/>
      <family val="2"/>
      <scheme val="minor"/>
    </font>
    <font>
      <sz val="11"/>
      <color theme="4" tint="-0.249977111117893"/>
      <name val="Calibri"/>
      <family val="2"/>
      <scheme val="minor"/>
    </font>
    <font>
      <sz val="11"/>
      <color rgb="FF000000"/>
      <name val="Calibri"/>
      <family val="2"/>
      <scheme val="minor"/>
    </font>
    <font>
      <sz val="10"/>
      <color theme="9" tint="-0.249977111117893"/>
      <name val="Consolas"/>
      <family val="3"/>
    </font>
    <font>
      <sz val="11"/>
      <color rgb="FF0070C0"/>
      <name val="Calibri"/>
      <family val="2"/>
      <scheme val="minor"/>
    </font>
    <font>
      <sz val="10"/>
      <color theme="5" tint="-0.249977111117893"/>
      <name val="Consolas"/>
      <family val="3"/>
    </font>
  </fonts>
  <fills count="4">
    <fill>
      <patternFill patternType="none"/>
    </fill>
    <fill>
      <patternFill patternType="gray125"/>
    </fill>
    <fill>
      <patternFill patternType="solid">
        <fgColor rgb="FFF2F2F2"/>
      </patternFill>
    </fill>
    <fill>
      <patternFill patternType="solid">
        <fgColor theme="4" tint="0.79998168889431442"/>
        <bgColor indexed="64"/>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1" fillId="2" borderId="2" applyNumberFormat="0" applyAlignment="0" applyProtection="0"/>
    <xf numFmtId="0" fontId="2" fillId="2" borderId="1" applyNumberFormat="0" applyAlignment="0" applyProtection="0"/>
  </cellStyleXfs>
  <cellXfs count="27">
    <xf numFmtId="0" fontId="0" fillId="0" borderId="0" xfId="0"/>
    <xf numFmtId="0" fontId="4" fillId="0" borderId="0" xfId="0" applyFont="1"/>
    <xf numFmtId="0" fontId="4" fillId="0" borderId="0" xfId="0" applyFont="1" applyAlignment="1">
      <alignment wrapText="1"/>
    </xf>
    <xf numFmtId="0" fontId="0" fillId="0" borderId="0" xfId="0" applyAlignment="1">
      <alignment wrapText="1"/>
    </xf>
    <xf numFmtId="0" fontId="9" fillId="0" borderId="0" xfId="0" applyFont="1" applyAlignment="1">
      <alignment vertical="center"/>
    </xf>
    <xf numFmtId="0" fontId="8" fillId="0" borderId="0" xfId="0" applyFont="1" applyAlignment="1">
      <alignment vertical="center"/>
    </xf>
    <xf numFmtId="0" fontId="2" fillId="2" borderId="1" xfId="2"/>
    <xf numFmtId="0" fontId="1" fillId="2" borderId="2" xfId="1"/>
    <xf numFmtId="0" fontId="10" fillId="2" borderId="1" xfId="2" applyFont="1"/>
    <xf numFmtId="0" fontId="3" fillId="0" borderId="0" xfId="0" applyFont="1"/>
    <xf numFmtId="0" fontId="11" fillId="0" borderId="0" xfId="0" applyFont="1"/>
    <xf numFmtId="0" fontId="12" fillId="0" borderId="0" xfId="0" applyFont="1"/>
    <xf numFmtId="0" fontId="0" fillId="0" borderId="0" xfId="0" applyFont="1"/>
    <xf numFmtId="0" fontId="6" fillId="0" borderId="0" xfId="0" applyFont="1" applyAlignment="1">
      <alignment wrapText="1"/>
    </xf>
    <xf numFmtId="0" fontId="6" fillId="0" borderId="0" xfId="0" applyFont="1"/>
    <xf numFmtId="0" fontId="13" fillId="0" borderId="0" xfId="0" applyFont="1" applyAlignment="1">
      <alignment vertical="center"/>
    </xf>
    <xf numFmtId="0" fontId="14" fillId="0" borderId="0" xfId="0" applyFont="1" applyAlignment="1">
      <alignment vertical="center"/>
    </xf>
    <xf numFmtId="0" fontId="4" fillId="3" borderId="0" xfId="0" applyFont="1" applyFill="1" applyAlignment="1">
      <alignment wrapText="1"/>
    </xf>
    <xf numFmtId="0" fontId="0" fillId="3" borderId="0" xfId="0" applyFill="1"/>
    <xf numFmtId="0" fontId="15" fillId="0" borderId="0" xfId="0" applyFont="1" applyAlignment="1">
      <alignment vertical="center"/>
    </xf>
    <xf numFmtId="0" fontId="16" fillId="0" borderId="0" xfId="0" applyFont="1"/>
    <xf numFmtId="0" fontId="17" fillId="0" borderId="0" xfId="0" applyFont="1" applyAlignment="1">
      <alignment horizontal="left" vertical="top" wrapText="1"/>
    </xf>
    <xf numFmtId="0" fontId="17" fillId="0" borderId="0" xfId="0" applyFont="1" applyAlignment="1">
      <alignment horizontal="left" vertical="top"/>
    </xf>
    <xf numFmtId="0" fontId="18" fillId="0" borderId="0" xfId="0" applyFont="1"/>
    <xf numFmtId="0" fontId="19" fillId="0" borderId="0" xfId="0" applyFont="1" applyAlignment="1">
      <alignment vertical="center"/>
    </xf>
    <xf numFmtId="0" fontId="20" fillId="0" borderId="0" xfId="0" applyFont="1"/>
    <xf numFmtId="0" fontId="0" fillId="0" borderId="0" xfId="0" applyAlignment="1">
      <alignment horizontal="left" vertical="top" wrapText="1"/>
    </xf>
  </cellXfs>
  <cellStyles count="3">
    <cellStyle name="Ausgabe" xfId="1" builtinId="21"/>
    <cellStyle name="Berechnung" xfId="2" builtinId="2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5FAE86-36B7-4DAF-B156-A056B6A43C96}">
  <sheetPr>
    <tabColor theme="5" tint="0.79998168889431442"/>
  </sheetPr>
  <dimension ref="A1:K45"/>
  <sheetViews>
    <sheetView workbookViewId="0">
      <pane xSplit="2" ySplit="2" topLeftCell="C3" activePane="bottomRight" state="frozen"/>
      <selection pane="topRight" activeCell="C1" sqref="C1"/>
      <selection pane="bottomLeft" activeCell="A2" sqref="A2"/>
      <selection pane="bottomRight" sqref="A1:K1"/>
    </sheetView>
  </sheetViews>
  <sheetFormatPr baseColWidth="10" defaultRowHeight="15" x14ac:dyDescent="0.25"/>
  <cols>
    <col min="1" max="1" width="32.28515625" bestFit="1" customWidth="1"/>
    <col min="3" max="3" width="36.7109375" customWidth="1"/>
    <col min="4" max="4" width="47.7109375" customWidth="1"/>
  </cols>
  <sheetData>
    <row r="1" spans="1:11" x14ac:dyDescent="0.25">
      <c r="A1" s="22" t="s">
        <v>143</v>
      </c>
      <c r="B1" s="22"/>
      <c r="C1" s="22"/>
      <c r="D1" s="22"/>
      <c r="E1" s="22"/>
      <c r="F1" s="22"/>
      <c r="G1" s="22"/>
      <c r="H1" s="22"/>
      <c r="I1" s="22"/>
      <c r="J1" s="22"/>
      <c r="K1" s="22"/>
    </row>
    <row r="2" spans="1:11" x14ac:dyDescent="0.25">
      <c r="A2" s="1" t="s">
        <v>64</v>
      </c>
      <c r="B2" s="1" t="s">
        <v>65</v>
      </c>
      <c r="C2" s="1" t="s">
        <v>66</v>
      </c>
      <c r="D2" s="1" t="s">
        <v>135</v>
      </c>
    </row>
    <row r="3" spans="1:11" x14ac:dyDescent="0.25">
      <c r="A3" s="6" t="s">
        <v>38</v>
      </c>
      <c r="B3" s="7">
        <v>1</v>
      </c>
      <c r="C3" t="s">
        <v>39</v>
      </c>
    </row>
    <row r="4" spans="1:11" x14ac:dyDescent="0.25">
      <c r="A4" s="6" t="s">
        <v>40</v>
      </c>
      <c r="B4" s="7">
        <v>2</v>
      </c>
      <c r="C4" t="s">
        <v>83</v>
      </c>
    </row>
    <row r="5" spans="1:11" x14ac:dyDescent="0.25">
      <c r="A5" s="6" t="s">
        <v>41</v>
      </c>
      <c r="B5" s="7">
        <v>3</v>
      </c>
      <c r="C5" t="s">
        <v>84</v>
      </c>
    </row>
    <row r="6" spans="1:11" x14ac:dyDescent="0.25">
      <c r="A6" s="6" t="s">
        <v>42</v>
      </c>
      <c r="B6" s="7">
        <v>4</v>
      </c>
      <c r="C6" t="s">
        <v>82</v>
      </c>
    </row>
    <row r="7" spans="1:11" x14ac:dyDescent="0.25">
      <c r="A7" s="6" t="s">
        <v>43</v>
      </c>
      <c r="B7" s="7">
        <v>5</v>
      </c>
      <c r="C7" t="s">
        <v>81</v>
      </c>
    </row>
    <row r="8" spans="1:11" x14ac:dyDescent="0.25">
      <c r="A8" s="6" t="s">
        <v>44</v>
      </c>
      <c r="B8" s="7">
        <v>6</v>
      </c>
      <c r="C8" t="s">
        <v>80</v>
      </c>
    </row>
    <row r="9" spans="1:11" x14ac:dyDescent="0.25">
      <c r="A9" s="6" t="s">
        <v>45</v>
      </c>
      <c r="B9" s="7">
        <v>7</v>
      </c>
      <c r="C9" t="s">
        <v>79</v>
      </c>
    </row>
    <row r="10" spans="1:11" x14ac:dyDescent="0.25">
      <c r="A10" s="6" t="s">
        <v>46</v>
      </c>
      <c r="B10" s="7">
        <v>8</v>
      </c>
      <c r="C10" t="s">
        <v>78</v>
      </c>
    </row>
    <row r="11" spans="1:11" x14ac:dyDescent="0.25">
      <c r="A11" s="6" t="s">
        <v>47</v>
      </c>
      <c r="B11" s="7">
        <v>9</v>
      </c>
      <c r="C11" t="s">
        <v>77</v>
      </c>
    </row>
    <row r="12" spans="1:11" x14ac:dyDescent="0.25">
      <c r="A12" s="8" t="s">
        <v>48</v>
      </c>
      <c r="B12" s="7">
        <v>10</v>
      </c>
      <c r="C12" t="s">
        <v>76</v>
      </c>
      <c r="D12" s="9" t="s">
        <v>6</v>
      </c>
    </row>
    <row r="13" spans="1:11" x14ac:dyDescent="0.25">
      <c r="A13" s="6" t="s">
        <v>49</v>
      </c>
      <c r="B13" s="7">
        <v>11</v>
      </c>
      <c r="C13" t="s">
        <v>75</v>
      </c>
    </row>
    <row r="14" spans="1:11" x14ac:dyDescent="0.25">
      <c r="A14" s="6" t="s">
        <v>50</v>
      </c>
      <c r="B14" s="7">
        <v>12</v>
      </c>
      <c r="C14" t="s">
        <v>74</v>
      </c>
    </row>
    <row r="15" spans="1:11" x14ac:dyDescent="0.25">
      <c r="A15" s="6" t="s">
        <v>51</v>
      </c>
      <c r="B15" s="7">
        <v>13</v>
      </c>
      <c r="C15" t="s">
        <v>73</v>
      </c>
    </row>
    <row r="16" spans="1:11" x14ac:dyDescent="0.25">
      <c r="A16" s="6" t="s">
        <v>0</v>
      </c>
      <c r="B16" s="7">
        <v>14</v>
      </c>
      <c r="C16" t="s">
        <v>2</v>
      </c>
      <c r="D16" t="s">
        <v>127</v>
      </c>
    </row>
    <row r="17" spans="1:4" x14ac:dyDescent="0.25">
      <c r="A17" s="8" t="s">
        <v>5</v>
      </c>
      <c r="B17" s="7">
        <v>15</v>
      </c>
      <c r="C17" t="s">
        <v>4</v>
      </c>
      <c r="D17" s="9" t="s">
        <v>6</v>
      </c>
    </row>
    <row r="18" spans="1:4" ht="165" x14ac:dyDescent="0.25">
      <c r="A18" s="6" t="s">
        <v>1</v>
      </c>
      <c r="B18" s="7">
        <v>16</v>
      </c>
      <c r="C18" t="s">
        <v>3</v>
      </c>
      <c r="D18" s="3" t="s">
        <v>134</v>
      </c>
    </row>
    <row r="19" spans="1:4" x14ac:dyDescent="0.25">
      <c r="A19" s="6" t="s">
        <v>7</v>
      </c>
      <c r="B19" s="7">
        <v>17</v>
      </c>
      <c r="C19" t="s">
        <v>12</v>
      </c>
      <c r="D19" t="s">
        <v>127</v>
      </c>
    </row>
    <row r="20" spans="1:4" x14ac:dyDescent="0.25">
      <c r="A20" s="6" t="s">
        <v>8</v>
      </c>
      <c r="B20" s="7">
        <v>18</v>
      </c>
      <c r="C20" t="s">
        <v>11</v>
      </c>
      <c r="D20" t="s">
        <v>127</v>
      </c>
    </row>
    <row r="21" spans="1:4" x14ac:dyDescent="0.25">
      <c r="A21" s="6" t="s">
        <v>25</v>
      </c>
      <c r="B21" s="7">
        <v>19</v>
      </c>
      <c r="C21" t="s">
        <v>30</v>
      </c>
    </row>
    <row r="22" spans="1:4" x14ac:dyDescent="0.25">
      <c r="A22" s="6" t="s">
        <v>34</v>
      </c>
      <c r="B22" s="7">
        <v>20</v>
      </c>
      <c r="C22" t="s">
        <v>37</v>
      </c>
    </row>
    <row r="23" spans="1:4" ht="90" x14ac:dyDescent="0.25">
      <c r="A23" s="6" t="s">
        <v>35</v>
      </c>
      <c r="B23" s="7">
        <v>21</v>
      </c>
      <c r="C23" t="s">
        <v>36</v>
      </c>
      <c r="D23" s="3" t="s">
        <v>33</v>
      </c>
    </row>
    <row r="24" spans="1:4" x14ac:dyDescent="0.25">
      <c r="A24" s="8" t="s">
        <v>26</v>
      </c>
      <c r="B24" s="7">
        <v>22</v>
      </c>
      <c r="C24" t="s">
        <v>29</v>
      </c>
      <c r="D24" s="9" t="s">
        <v>6</v>
      </c>
    </row>
    <row r="25" spans="1:4" x14ac:dyDescent="0.25">
      <c r="A25" s="8" t="s">
        <v>27</v>
      </c>
      <c r="B25" s="7">
        <v>23</v>
      </c>
      <c r="C25" t="s">
        <v>28</v>
      </c>
      <c r="D25" s="9" t="s">
        <v>6</v>
      </c>
    </row>
    <row r="26" spans="1:4" x14ac:dyDescent="0.25">
      <c r="A26" s="6" t="s">
        <v>52</v>
      </c>
      <c r="B26" s="7">
        <v>24</v>
      </c>
      <c r="C26" t="s">
        <v>67</v>
      </c>
    </row>
    <row r="27" spans="1:4" x14ac:dyDescent="0.25">
      <c r="A27" s="6" t="s">
        <v>53</v>
      </c>
      <c r="B27" s="7">
        <v>25</v>
      </c>
      <c r="C27" t="s">
        <v>68</v>
      </c>
    </row>
    <row r="28" spans="1:4" x14ac:dyDescent="0.25">
      <c r="A28" s="6" t="s">
        <v>54</v>
      </c>
      <c r="B28" s="7">
        <v>26</v>
      </c>
      <c r="C28" t="s">
        <v>69</v>
      </c>
    </row>
    <row r="29" spans="1:4" x14ac:dyDescent="0.25">
      <c r="A29" s="6" t="s">
        <v>55</v>
      </c>
      <c r="B29" s="7">
        <v>27</v>
      </c>
      <c r="C29" t="s">
        <v>141</v>
      </c>
    </row>
    <row r="30" spans="1:4" x14ac:dyDescent="0.25">
      <c r="A30" s="6" t="s">
        <v>31</v>
      </c>
      <c r="B30" s="7">
        <v>28</v>
      </c>
      <c r="C30" t="s">
        <v>32</v>
      </c>
    </row>
    <row r="31" spans="1:4" x14ac:dyDescent="0.25">
      <c r="A31" s="6" t="s">
        <v>56</v>
      </c>
      <c r="B31" s="7">
        <v>29</v>
      </c>
      <c r="C31" t="s">
        <v>70</v>
      </c>
    </row>
    <row r="32" spans="1:4" x14ac:dyDescent="0.25">
      <c r="A32" s="6" t="s">
        <v>57</v>
      </c>
      <c r="B32" s="7">
        <v>30</v>
      </c>
      <c r="C32" t="s">
        <v>71</v>
      </c>
    </row>
    <row r="33" spans="1:4" x14ac:dyDescent="0.25">
      <c r="A33" s="6" t="s">
        <v>13</v>
      </c>
      <c r="B33" s="7">
        <v>31</v>
      </c>
      <c r="C33" t="s">
        <v>19</v>
      </c>
      <c r="D33" t="s">
        <v>127</v>
      </c>
    </row>
    <row r="34" spans="1:4" x14ac:dyDescent="0.25">
      <c r="A34" s="6" t="s">
        <v>14</v>
      </c>
      <c r="B34" s="7">
        <v>32</v>
      </c>
      <c r="C34" t="s">
        <v>20</v>
      </c>
      <c r="D34" s="9" t="s">
        <v>6</v>
      </c>
    </row>
    <row r="35" spans="1:4" ht="165" x14ac:dyDescent="0.25">
      <c r="A35" s="6" t="s">
        <v>15</v>
      </c>
      <c r="B35" s="7">
        <v>33</v>
      </c>
      <c r="C35" t="s">
        <v>21</v>
      </c>
      <c r="D35" s="3" t="s">
        <v>134</v>
      </c>
    </row>
    <row r="36" spans="1:4" x14ac:dyDescent="0.25">
      <c r="A36" s="6" t="s">
        <v>16</v>
      </c>
      <c r="B36" s="7">
        <v>34</v>
      </c>
      <c r="C36" t="s">
        <v>22</v>
      </c>
      <c r="D36" t="s">
        <v>127</v>
      </c>
    </row>
    <row r="37" spans="1:4" x14ac:dyDescent="0.25">
      <c r="A37" s="6" t="s">
        <v>17</v>
      </c>
      <c r="B37" s="7">
        <v>35</v>
      </c>
      <c r="C37" t="s">
        <v>23</v>
      </c>
      <c r="D37" t="s">
        <v>127</v>
      </c>
    </row>
    <row r="38" spans="1:4" x14ac:dyDescent="0.25">
      <c r="A38" s="6" t="s">
        <v>9</v>
      </c>
      <c r="B38" s="7">
        <v>36</v>
      </c>
      <c r="C38" t="s">
        <v>10</v>
      </c>
      <c r="D38" t="s">
        <v>127</v>
      </c>
    </row>
    <row r="39" spans="1:4" x14ac:dyDescent="0.25">
      <c r="A39" s="6" t="s">
        <v>18</v>
      </c>
      <c r="B39" s="7">
        <v>37</v>
      </c>
      <c r="C39" t="s">
        <v>24</v>
      </c>
      <c r="D39" t="s">
        <v>127</v>
      </c>
    </row>
    <row r="40" spans="1:4" x14ac:dyDescent="0.25">
      <c r="A40" s="6" t="s">
        <v>58</v>
      </c>
      <c r="B40" s="7">
        <v>38</v>
      </c>
      <c r="C40" t="s">
        <v>72</v>
      </c>
    </row>
    <row r="41" spans="1:4" x14ac:dyDescent="0.25">
      <c r="A41" s="6" t="s">
        <v>59</v>
      </c>
      <c r="B41" s="7">
        <v>39</v>
      </c>
      <c r="C41" t="s">
        <v>136</v>
      </c>
    </row>
    <row r="42" spans="1:4" x14ac:dyDescent="0.25">
      <c r="A42" s="6" t="s">
        <v>60</v>
      </c>
      <c r="B42" s="7">
        <v>40</v>
      </c>
      <c r="C42" t="s">
        <v>137</v>
      </c>
    </row>
    <row r="43" spans="1:4" x14ac:dyDescent="0.25">
      <c r="A43" s="6" t="s">
        <v>61</v>
      </c>
      <c r="B43" s="7">
        <v>41</v>
      </c>
      <c r="C43" t="s">
        <v>138</v>
      </c>
    </row>
    <row r="44" spans="1:4" x14ac:dyDescent="0.25">
      <c r="A44" s="6" t="s">
        <v>62</v>
      </c>
      <c r="B44" s="7">
        <v>42</v>
      </c>
      <c r="C44" t="s">
        <v>139</v>
      </c>
    </row>
    <row r="45" spans="1:4" x14ac:dyDescent="0.25">
      <c r="A45" s="6" t="s">
        <v>63</v>
      </c>
      <c r="B45" s="7">
        <v>43</v>
      </c>
      <c r="C45" t="s">
        <v>140</v>
      </c>
    </row>
  </sheetData>
  <autoFilter ref="A2:D45" xr:uid="{805FAE86-36B7-4DAF-B156-A056B6A43C96}"/>
  <mergeCells count="1">
    <mergeCell ref="A1:K1"/>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92"/>
  <sheetViews>
    <sheetView tabSelected="1" workbookViewId="0">
      <pane xSplit="3" ySplit="2" topLeftCell="D3" activePane="bottomRight" state="frozen"/>
      <selection pane="topRight" activeCell="D1" sqref="D1"/>
      <selection pane="bottomLeft" activeCell="A2" sqref="A2"/>
      <selection pane="bottomRight" activeCell="B3" sqref="B3"/>
    </sheetView>
  </sheetViews>
  <sheetFormatPr baseColWidth="10" defaultColWidth="9.140625" defaultRowHeight="15" x14ac:dyDescent="0.25"/>
  <cols>
    <col min="1" max="1" width="31.7109375" customWidth="1"/>
    <col min="2" max="2" width="13" customWidth="1"/>
    <col min="3" max="3" width="10.140625" customWidth="1"/>
    <col min="4" max="4" width="16.28515625" style="14" customWidth="1"/>
    <col min="5" max="6" width="24.7109375" customWidth="1"/>
    <col min="7" max="7" width="37.7109375" customWidth="1"/>
    <col min="8" max="8" width="74.7109375" bestFit="1" customWidth="1"/>
    <col min="9" max="9" width="46.28515625" customWidth="1"/>
    <col min="10" max="10" width="15.42578125" style="12" customWidth="1"/>
    <col min="11" max="11" width="29.28515625" style="18" customWidth="1"/>
    <col min="12" max="12" width="25.7109375" style="18" customWidth="1"/>
    <col min="13" max="13" width="76" customWidth="1"/>
  </cols>
  <sheetData>
    <row r="1" spans="1:15" ht="33.75" customHeight="1" x14ac:dyDescent="0.25">
      <c r="A1" s="21" t="s">
        <v>145</v>
      </c>
      <c r="B1" s="22"/>
      <c r="C1" s="22"/>
      <c r="D1" s="22"/>
      <c r="E1" s="22"/>
      <c r="F1" s="22"/>
      <c r="G1" s="22"/>
      <c r="H1" s="22"/>
      <c r="I1" s="22"/>
      <c r="J1" s="22"/>
      <c r="K1" s="22"/>
      <c r="L1" s="22"/>
      <c r="M1" s="22"/>
    </row>
    <row r="2" spans="1:15" ht="71.25" customHeight="1" x14ac:dyDescent="0.25">
      <c r="A2" s="2" t="s">
        <v>107</v>
      </c>
      <c r="B2" s="2" t="s">
        <v>108</v>
      </c>
      <c r="C2" s="2" t="s">
        <v>109</v>
      </c>
      <c r="D2" s="13" t="s">
        <v>90</v>
      </c>
      <c r="E2" s="2" t="s">
        <v>104</v>
      </c>
      <c r="F2" s="2" t="s">
        <v>133</v>
      </c>
      <c r="G2" s="2" t="s">
        <v>105</v>
      </c>
      <c r="H2" s="2" t="s">
        <v>87</v>
      </c>
      <c r="I2" s="2" t="s">
        <v>86</v>
      </c>
      <c r="J2" s="2" t="s">
        <v>103</v>
      </c>
      <c r="K2" s="17" t="s">
        <v>111</v>
      </c>
      <c r="L2" s="17" t="s">
        <v>112</v>
      </c>
      <c r="M2" s="2" t="s">
        <v>106</v>
      </c>
      <c r="N2" s="2" t="s">
        <v>182</v>
      </c>
      <c r="O2" s="2" t="s">
        <v>183</v>
      </c>
    </row>
    <row r="3" spans="1:15" ht="50.1" customHeight="1" x14ac:dyDescent="0.25">
      <c r="A3" s="6" t="s">
        <v>25</v>
      </c>
      <c r="B3" s="26" t="str">
        <f>VLOOKUP(A3,'LibFilters3 filterPanelIds'!$A$3:$C$1000,3,FALSE)</f>
        <v>Alchemy potion or poison creation</v>
      </c>
      <c r="C3" s="11" t="s">
        <v>89</v>
      </c>
      <c r="H3" s="15" t="s">
        <v>128</v>
      </c>
      <c r="I3" t="s">
        <v>129</v>
      </c>
      <c r="J3" s="12" t="s">
        <v>91</v>
      </c>
      <c r="M3" t="s">
        <v>179</v>
      </c>
      <c r="N3" s="1" t="s">
        <v>91</v>
      </c>
      <c r="O3" s="1" t="s">
        <v>91</v>
      </c>
    </row>
    <row r="4" spans="1:15" ht="50.1" customHeight="1" x14ac:dyDescent="0.25">
      <c r="A4" s="6" t="s">
        <v>25</v>
      </c>
      <c r="B4" s="26" t="str">
        <f>VLOOKUP(A4,'LibFilters3 filterPanelIds'!$A$3:$C$1000,3,FALSE)</f>
        <v>Alchemy potion or poison creation</v>
      </c>
      <c r="C4" s="10" t="s">
        <v>88</v>
      </c>
      <c r="H4" s="15" t="s">
        <v>128</v>
      </c>
      <c r="I4" t="s">
        <v>129</v>
      </c>
      <c r="J4" s="12" t="s">
        <v>91</v>
      </c>
      <c r="N4" s="1" t="s">
        <v>91</v>
      </c>
      <c r="O4" s="1" t="s">
        <v>91</v>
      </c>
    </row>
    <row r="5" spans="1:15" ht="50.1" customHeight="1" x14ac:dyDescent="0.25">
      <c r="A5" s="6" t="s">
        <v>41</v>
      </c>
      <c r="B5" s="26" t="str">
        <f>VLOOKUP(A5,'LibFilters3 filterPanelIds'!$A$3:$C$1000,3,FALSE)</f>
        <v>Player bank Deposit</v>
      </c>
      <c r="C5" s="11" t="s">
        <v>89</v>
      </c>
      <c r="H5" s="4" t="s">
        <v>156</v>
      </c>
      <c r="I5" t="s">
        <v>155</v>
      </c>
      <c r="N5" s="1" t="s">
        <v>91</v>
      </c>
      <c r="O5" s="1" t="s">
        <v>91</v>
      </c>
    </row>
    <row r="6" spans="1:15" ht="50.1" customHeight="1" x14ac:dyDescent="0.25">
      <c r="A6" s="6" t="s">
        <v>41</v>
      </c>
      <c r="B6" s="26" t="str">
        <f>VLOOKUP(A6,'LibFilters3 filterPanelIds'!$A$3:$C$1000,3,FALSE)</f>
        <v>Player bank Deposit</v>
      </c>
      <c r="C6" s="10" t="s">
        <v>88</v>
      </c>
      <c r="H6" s="24" t="s">
        <v>101</v>
      </c>
      <c r="I6" t="s">
        <v>92</v>
      </c>
      <c r="J6" s="12" t="s">
        <v>91</v>
      </c>
      <c r="N6" s="1" t="s">
        <v>91</v>
      </c>
      <c r="O6" s="1" t="s">
        <v>91</v>
      </c>
    </row>
    <row r="7" spans="1:15" ht="50.1" customHeight="1" x14ac:dyDescent="0.25">
      <c r="A7" s="6" t="s">
        <v>40</v>
      </c>
      <c r="B7" s="26" t="str">
        <f>VLOOKUP(A7,'LibFilters3 filterPanelIds'!$A$3:$C$1000,3,FALSE)</f>
        <v>Player bank Withdraw</v>
      </c>
      <c r="C7" s="11" t="s">
        <v>89</v>
      </c>
      <c r="H7" s="25" t="s">
        <v>166</v>
      </c>
      <c r="I7" t="s">
        <v>96</v>
      </c>
      <c r="J7" s="12" t="s">
        <v>91</v>
      </c>
      <c r="M7" t="s">
        <v>179</v>
      </c>
      <c r="N7" s="1" t="s">
        <v>91</v>
      </c>
      <c r="O7" s="1" t="s">
        <v>91</v>
      </c>
    </row>
    <row r="8" spans="1:15" ht="50.1" customHeight="1" x14ac:dyDescent="0.25">
      <c r="A8" s="6" t="s">
        <v>40</v>
      </c>
      <c r="B8" s="26" t="str">
        <f>VLOOKUP(A8,'LibFilters3 filterPanelIds'!$A$3:$C$1000,3,FALSE)</f>
        <v>Player bank Withdraw</v>
      </c>
      <c r="C8" s="10" t="s">
        <v>88</v>
      </c>
      <c r="H8" s="25" t="s">
        <v>166</v>
      </c>
      <c r="I8" t="s">
        <v>96</v>
      </c>
      <c r="J8" s="12" t="s">
        <v>91</v>
      </c>
      <c r="N8" s="1" t="s">
        <v>91</v>
      </c>
      <c r="O8" s="1" t="s">
        <v>91</v>
      </c>
    </row>
    <row r="9" spans="1:15" ht="50.1" customHeight="1" x14ac:dyDescent="0.25">
      <c r="A9" s="6" t="s">
        <v>54</v>
      </c>
      <c r="B9" s="26" t="str">
        <f>VLOOKUP(A9,'LibFilters3 filterPanelIds'!$A$3:$C$1000,3,FALSE)</f>
        <v>CraftBag</v>
      </c>
      <c r="C9" s="11" t="s">
        <v>89</v>
      </c>
      <c r="H9" s="4" t="s">
        <v>178</v>
      </c>
      <c r="I9" t="s">
        <v>96</v>
      </c>
      <c r="N9" s="1" t="s">
        <v>91</v>
      </c>
      <c r="O9" s="1" t="s">
        <v>91</v>
      </c>
    </row>
    <row r="10" spans="1:15" ht="50.1" customHeight="1" x14ac:dyDescent="0.25">
      <c r="A10" s="6" t="s">
        <v>54</v>
      </c>
      <c r="B10" s="26" t="str">
        <f>VLOOKUP(A10,'LibFilters3 filterPanelIds'!$A$3:$C$1000,3,FALSE)</f>
        <v>CraftBag</v>
      </c>
      <c r="C10" s="10" t="s">
        <v>88</v>
      </c>
      <c r="H10" s="25" t="s">
        <v>167</v>
      </c>
      <c r="I10" t="s">
        <v>96</v>
      </c>
      <c r="J10" s="12" t="s">
        <v>91</v>
      </c>
      <c r="M10" s="3" t="s">
        <v>95</v>
      </c>
      <c r="N10" s="1" t="s">
        <v>91</v>
      </c>
      <c r="O10" s="1" t="s">
        <v>91</v>
      </c>
    </row>
    <row r="11" spans="1:15" ht="50.1" customHeight="1" x14ac:dyDescent="0.25">
      <c r="A11" s="6" t="s">
        <v>34</v>
      </c>
      <c r="B11" s="26" t="str">
        <f>VLOOKUP(A11,'LibFilters3 filterPanelIds'!$A$3:$C$1000,3,FALSE)</f>
        <v>Enchanting table's glyph creation</v>
      </c>
      <c r="C11" s="11" t="s">
        <v>89</v>
      </c>
      <c r="H11" s="15" t="s">
        <v>153</v>
      </c>
      <c r="I11" t="s">
        <v>129</v>
      </c>
      <c r="J11" s="12" t="s">
        <v>91</v>
      </c>
      <c r="N11" s="1" t="s">
        <v>91</v>
      </c>
      <c r="O11" s="1" t="s">
        <v>91</v>
      </c>
    </row>
    <row r="12" spans="1:15" ht="50.1" customHeight="1" x14ac:dyDescent="0.25">
      <c r="A12" s="6" t="s">
        <v>34</v>
      </c>
      <c r="B12" s="26" t="str">
        <f>VLOOKUP(A12,'LibFilters3 filterPanelIds'!$A$3:$C$1000,3,FALSE)</f>
        <v>Enchanting table's glyph creation</v>
      </c>
      <c r="C12" s="10" t="s">
        <v>88</v>
      </c>
      <c r="N12" s="1" t="s">
        <v>91</v>
      </c>
      <c r="O12" s="1" t="s">
        <v>91</v>
      </c>
    </row>
    <row r="13" spans="1:15" ht="50.1" customHeight="1" x14ac:dyDescent="0.25">
      <c r="A13" s="6" t="s">
        <v>35</v>
      </c>
      <c r="B13" s="26" t="str">
        <f>VLOOKUP(A13,'LibFilters3 filterPanelIds'!$A$3:$C$1000,3,FALSE)</f>
        <v>Enchanting table's glyph extraction</v>
      </c>
      <c r="C13" s="11" t="s">
        <v>89</v>
      </c>
      <c r="H13" s="15" t="s">
        <v>154</v>
      </c>
      <c r="I13" t="s">
        <v>129</v>
      </c>
      <c r="J13" s="12" t="s">
        <v>91</v>
      </c>
      <c r="N13" s="1" t="s">
        <v>91</v>
      </c>
      <c r="O13" s="1" t="s">
        <v>91</v>
      </c>
    </row>
    <row r="14" spans="1:15" ht="50.1" customHeight="1" x14ac:dyDescent="0.25">
      <c r="A14" s="6" t="s">
        <v>35</v>
      </c>
      <c r="B14" s="26" t="str">
        <f>VLOOKUP(A14,'LibFilters3 filterPanelIds'!$A$3:$C$1000,3,FALSE)</f>
        <v>Enchanting table's glyph extraction</v>
      </c>
      <c r="C14" s="10" t="s">
        <v>88</v>
      </c>
      <c r="N14" s="1" t="s">
        <v>91</v>
      </c>
      <c r="O14" s="1" t="s">
        <v>91</v>
      </c>
    </row>
    <row r="15" spans="1:15" ht="50.1" customHeight="1" x14ac:dyDescent="0.25">
      <c r="A15" s="6" t="s">
        <v>53</v>
      </c>
      <c r="B15" s="26" t="str">
        <f>VLOOKUP(A15,'LibFilters3 filterPanelIds'!$A$3:$C$1000,3,FALSE)</f>
        <v>Fence vendor launder</v>
      </c>
      <c r="C15" s="11" t="s">
        <v>89</v>
      </c>
      <c r="H15" s="16" t="s">
        <v>151</v>
      </c>
      <c r="I15" t="s">
        <v>126</v>
      </c>
      <c r="J15" s="12" t="s">
        <v>91</v>
      </c>
      <c r="N15" s="1" t="s">
        <v>91</v>
      </c>
      <c r="O15" s="1" t="s">
        <v>91</v>
      </c>
    </row>
    <row r="16" spans="1:15" ht="50.1" customHeight="1" x14ac:dyDescent="0.25">
      <c r="A16" s="6" t="s">
        <v>53</v>
      </c>
      <c r="B16" s="26" t="str">
        <f>VLOOKUP(A16,'LibFilters3 filterPanelIds'!$A$3:$C$1000,3,FALSE)</f>
        <v>Fence vendor launder</v>
      </c>
      <c r="C16" s="10" t="s">
        <v>88</v>
      </c>
      <c r="H16" s="24" t="s">
        <v>121</v>
      </c>
      <c r="I16" t="s">
        <v>92</v>
      </c>
      <c r="J16" s="12" t="s">
        <v>91</v>
      </c>
      <c r="N16" s="1" t="s">
        <v>91</v>
      </c>
      <c r="O16" s="1" t="s">
        <v>91</v>
      </c>
    </row>
    <row r="17" spans="1:15" ht="50.1" customHeight="1" x14ac:dyDescent="0.25">
      <c r="A17" s="6" t="s">
        <v>52</v>
      </c>
      <c r="B17" s="26" t="str">
        <f>VLOOKUP(A17,'LibFilters3 filterPanelIds'!$A$3:$C$1000,3,FALSE)</f>
        <v>Fence vendor sell</v>
      </c>
      <c r="C17" s="11" t="s">
        <v>89</v>
      </c>
      <c r="H17" s="16" t="s">
        <v>150</v>
      </c>
      <c r="I17" t="s">
        <v>126</v>
      </c>
      <c r="J17" s="12" t="s">
        <v>91</v>
      </c>
      <c r="N17" s="1" t="s">
        <v>91</v>
      </c>
      <c r="O17" s="1" t="s">
        <v>91</v>
      </c>
    </row>
    <row r="18" spans="1:15" ht="50.1" customHeight="1" x14ac:dyDescent="0.25">
      <c r="A18" s="6" t="s">
        <v>52</v>
      </c>
      <c r="B18" s="26" t="str">
        <f>VLOOKUP(A18,'LibFilters3 filterPanelIds'!$A$3:$C$1000,3,FALSE)</f>
        <v>Fence vendor sell</v>
      </c>
      <c r="C18" s="10" t="s">
        <v>88</v>
      </c>
      <c r="H18" s="24" t="s">
        <v>119</v>
      </c>
      <c r="I18" t="s">
        <v>92</v>
      </c>
      <c r="J18" s="12" t="s">
        <v>91</v>
      </c>
      <c r="N18" s="1" t="s">
        <v>91</v>
      </c>
      <c r="O18" s="1" t="s">
        <v>91</v>
      </c>
    </row>
    <row r="19" spans="1:15" ht="50.1" customHeight="1" x14ac:dyDescent="0.25">
      <c r="A19" s="6" t="s">
        <v>61</v>
      </c>
      <c r="B19" s="26" t="str">
        <f>VLOOKUP(A19,'LibFilters3 filterPanelIds'!$A$3:$C$1000,3,FALSE)</f>
        <v>Furniture vault Deposit (ESO+ Housing)</v>
      </c>
      <c r="C19" s="11" t="s">
        <v>89</v>
      </c>
      <c r="H19" s="4" t="s">
        <v>157</v>
      </c>
      <c r="I19" s="23" t="s">
        <v>155</v>
      </c>
      <c r="N19" s="1" t="s">
        <v>91</v>
      </c>
      <c r="O19" s="1" t="s">
        <v>91</v>
      </c>
    </row>
    <row r="20" spans="1:15" ht="50.1" customHeight="1" x14ac:dyDescent="0.25">
      <c r="A20" s="6" t="s">
        <v>61</v>
      </c>
      <c r="B20" s="26" t="str">
        <f>VLOOKUP(A20,'LibFilters3 filterPanelIds'!$A$3:$C$1000,3,FALSE)</f>
        <v>Furniture vault Deposit (ESO+ Housing)</v>
      </c>
      <c r="C20" s="10" t="s">
        <v>88</v>
      </c>
      <c r="H20" s="24" t="s">
        <v>120</v>
      </c>
      <c r="I20" t="s">
        <v>92</v>
      </c>
      <c r="J20" s="12" t="s">
        <v>91</v>
      </c>
      <c r="N20" s="1" t="s">
        <v>91</v>
      </c>
      <c r="O20" s="1" t="s">
        <v>91</v>
      </c>
    </row>
    <row r="21" spans="1:15" ht="50.1" customHeight="1" x14ac:dyDescent="0.25">
      <c r="A21" s="6" t="s">
        <v>60</v>
      </c>
      <c r="B21" s="26" t="str">
        <f>VLOOKUP(A21,'LibFilters3 filterPanelIds'!$A$3:$C$1000,3,FALSE)</f>
        <v>Furniture vault Withdraw (ESO+ Housing)</v>
      </c>
      <c r="C21" s="11" t="s">
        <v>89</v>
      </c>
      <c r="H21" s="25" t="s">
        <v>180</v>
      </c>
      <c r="I21" t="s">
        <v>100</v>
      </c>
      <c r="J21" s="12" t="s">
        <v>91</v>
      </c>
      <c r="M21" t="s">
        <v>179</v>
      </c>
      <c r="N21" s="1" t="s">
        <v>91</v>
      </c>
      <c r="O21" s="1" t="s">
        <v>91</v>
      </c>
    </row>
    <row r="22" spans="1:15" ht="50.1" customHeight="1" x14ac:dyDescent="0.25">
      <c r="A22" s="6" t="s">
        <v>60</v>
      </c>
      <c r="B22" s="26" t="str">
        <f>VLOOKUP(A22,'LibFilters3 filterPanelIds'!$A$3:$C$1000,3,FALSE)</f>
        <v>Furniture vault Withdraw (ESO+ Housing)</v>
      </c>
      <c r="C22" s="10" t="s">
        <v>88</v>
      </c>
      <c r="H22" s="25" t="s">
        <v>180</v>
      </c>
      <c r="I22" t="s">
        <v>100</v>
      </c>
      <c r="J22" s="12" t="s">
        <v>91</v>
      </c>
      <c r="N22" s="1" t="s">
        <v>91</v>
      </c>
      <c r="O22" s="1" t="s">
        <v>91</v>
      </c>
    </row>
    <row r="23" spans="1:15" ht="50.1" customHeight="1" x14ac:dyDescent="0.25">
      <c r="A23" s="6" t="s">
        <v>43</v>
      </c>
      <c r="B23" s="26" t="str">
        <f>VLOOKUP(A23,'LibFilters3 filterPanelIds'!$A$3:$C$1000,3,FALSE)</f>
        <v>Guildbank Deposit</v>
      </c>
      <c r="C23" s="11" t="s">
        <v>89</v>
      </c>
      <c r="H23" s="4" t="s">
        <v>158</v>
      </c>
      <c r="I23" t="s">
        <v>155</v>
      </c>
      <c r="N23" s="1" t="s">
        <v>91</v>
      </c>
      <c r="O23" s="1" t="s">
        <v>91</v>
      </c>
    </row>
    <row r="24" spans="1:15" ht="50.1" customHeight="1" x14ac:dyDescent="0.25">
      <c r="A24" s="6" t="s">
        <v>43</v>
      </c>
      <c r="B24" s="26" t="str">
        <f>VLOOKUP(A24,'LibFilters3 filterPanelIds'!$A$3:$C$1000,3,FALSE)</f>
        <v>Guildbank Deposit</v>
      </c>
      <c r="C24" s="10" t="s">
        <v>88</v>
      </c>
      <c r="H24" s="24" t="s">
        <v>102</v>
      </c>
      <c r="I24" t="s">
        <v>92</v>
      </c>
      <c r="J24" s="12" t="s">
        <v>91</v>
      </c>
      <c r="N24" s="1" t="s">
        <v>91</v>
      </c>
      <c r="O24" s="1" t="s">
        <v>91</v>
      </c>
    </row>
    <row r="25" spans="1:15" ht="50.1" customHeight="1" x14ac:dyDescent="0.25">
      <c r="A25" s="6" t="s">
        <v>42</v>
      </c>
      <c r="B25" s="26" t="str">
        <f>VLOOKUP(A25,'LibFilters3 filterPanelIds'!$A$3:$C$1000,3,FALSE)</f>
        <v>Guildbank Withdraw</v>
      </c>
      <c r="C25" s="11" t="s">
        <v>89</v>
      </c>
      <c r="H25" s="25" t="s">
        <v>168</v>
      </c>
      <c r="I25" t="s">
        <v>100</v>
      </c>
      <c r="J25" s="12" t="s">
        <v>91</v>
      </c>
      <c r="M25" t="s">
        <v>179</v>
      </c>
      <c r="N25" s="1" t="s">
        <v>91</v>
      </c>
      <c r="O25" s="1" t="s">
        <v>91</v>
      </c>
    </row>
    <row r="26" spans="1:15" ht="50.1" customHeight="1" x14ac:dyDescent="0.25">
      <c r="A26" s="6" t="s">
        <v>42</v>
      </c>
      <c r="B26" s="26" t="str">
        <f>VLOOKUP(A26,'LibFilters3 filterPanelIds'!$A$3:$C$1000,3,FALSE)</f>
        <v>Guildbank Withdraw</v>
      </c>
      <c r="C26" s="10" t="s">
        <v>88</v>
      </c>
      <c r="H26" s="25" t="s">
        <v>168</v>
      </c>
      <c r="I26" t="s">
        <v>100</v>
      </c>
      <c r="J26" s="12" t="s">
        <v>91</v>
      </c>
      <c r="N26" s="1" t="s">
        <v>91</v>
      </c>
      <c r="O26" s="1" t="s">
        <v>91</v>
      </c>
    </row>
    <row r="27" spans="1:15" ht="50.1" customHeight="1" x14ac:dyDescent="0.25">
      <c r="A27" s="8" t="s">
        <v>48</v>
      </c>
      <c r="B27" s="26" t="str">
        <f>VLOOKUP(A27,'LibFilters3 filterPanelIds'!$A$3:$C$1000,3,FALSE)</f>
        <v>Guildstore / Tradinghouse Search</v>
      </c>
      <c r="C27" s="20" t="s">
        <v>85</v>
      </c>
      <c r="E27" s="9" t="s">
        <v>6</v>
      </c>
      <c r="F27" s="9"/>
      <c r="N27" s="1"/>
      <c r="O27" s="1" t="s">
        <v>91</v>
      </c>
    </row>
    <row r="28" spans="1:15" ht="50.1" customHeight="1" x14ac:dyDescent="0.25">
      <c r="A28" s="6" t="s">
        <v>49</v>
      </c>
      <c r="B28" s="26" t="str">
        <f>VLOOKUP(A28,'LibFilters3 filterPanelIds'!$A$3:$C$1000,3,FALSE)</f>
        <v>Guildstore / Tradinghouse Sell</v>
      </c>
      <c r="C28" s="11" t="s">
        <v>89</v>
      </c>
      <c r="H28" s="4" t="s">
        <v>159</v>
      </c>
      <c r="I28" t="s">
        <v>155</v>
      </c>
      <c r="N28" s="1" t="s">
        <v>91</v>
      </c>
      <c r="O28" s="1" t="s">
        <v>91</v>
      </c>
    </row>
    <row r="29" spans="1:15" ht="50.1" customHeight="1" x14ac:dyDescent="0.25">
      <c r="A29" s="6" t="s">
        <v>49</v>
      </c>
      <c r="B29" s="26" t="str">
        <f>VLOOKUP(A29,'LibFilters3 filterPanelIds'!$A$3:$C$1000,3,FALSE)</f>
        <v>Guildstore / Tradinghouse Sell</v>
      </c>
      <c r="C29" s="10" t="s">
        <v>88</v>
      </c>
      <c r="H29" s="24" t="s">
        <v>122</v>
      </c>
      <c r="I29" t="s">
        <v>92</v>
      </c>
      <c r="J29" s="12" t="s">
        <v>91</v>
      </c>
      <c r="N29" s="1" t="s">
        <v>91</v>
      </c>
      <c r="O29" s="1" t="s">
        <v>91</v>
      </c>
    </row>
    <row r="30" spans="1:15" ht="50.1" customHeight="1" x14ac:dyDescent="0.25">
      <c r="A30" s="6" t="s">
        <v>57</v>
      </c>
      <c r="B30" s="26" t="str">
        <f>VLOOKUP(A30,'LibFilters3 filterPanelIds'!$A$3:$C$1000,3,FALSE)</f>
        <v>House bank 1 to 10 Deposit</v>
      </c>
      <c r="C30" s="11" t="s">
        <v>89</v>
      </c>
      <c r="H30" s="4" t="s">
        <v>160</v>
      </c>
      <c r="I30" t="s">
        <v>155</v>
      </c>
      <c r="N30" s="1" t="s">
        <v>91</v>
      </c>
      <c r="O30" s="1" t="s">
        <v>91</v>
      </c>
    </row>
    <row r="31" spans="1:15" ht="50.1" customHeight="1" x14ac:dyDescent="0.25">
      <c r="A31" s="6" t="s">
        <v>57</v>
      </c>
      <c r="B31" s="26" t="str">
        <f>VLOOKUP(A31,'LibFilters3 filterPanelIds'!$A$3:$C$1000,3,FALSE)</f>
        <v>House bank 1 to 10 Deposit</v>
      </c>
      <c r="C31" s="10" t="s">
        <v>88</v>
      </c>
      <c r="H31" s="24" t="s">
        <v>110</v>
      </c>
      <c r="I31" t="s">
        <v>92</v>
      </c>
      <c r="J31" s="12" t="s">
        <v>91</v>
      </c>
      <c r="N31" s="1" t="s">
        <v>91</v>
      </c>
      <c r="O31" s="1" t="s">
        <v>91</v>
      </c>
    </row>
    <row r="32" spans="1:15" ht="50.1" customHeight="1" x14ac:dyDescent="0.25">
      <c r="A32" s="6" t="s">
        <v>56</v>
      </c>
      <c r="B32" s="26" t="str">
        <f>VLOOKUP(A32,'LibFilters3 filterPanelIds'!$A$3:$C$1000,3,FALSE)</f>
        <v>House bank 1 to 10 Withdraw</v>
      </c>
      <c r="C32" s="11" t="s">
        <v>89</v>
      </c>
      <c r="H32" s="25" t="s">
        <v>169</v>
      </c>
      <c r="I32" t="s">
        <v>100</v>
      </c>
      <c r="J32" s="12" t="s">
        <v>91</v>
      </c>
      <c r="N32" s="1" t="s">
        <v>91</v>
      </c>
      <c r="O32" s="1" t="s">
        <v>91</v>
      </c>
    </row>
    <row r="33" spans="1:15" ht="50.1" customHeight="1" x14ac:dyDescent="0.25">
      <c r="A33" s="6" t="s">
        <v>56</v>
      </c>
      <c r="B33" s="26" t="str">
        <f>VLOOKUP(A33,'LibFilters3 filterPanelIds'!$A$3:$C$1000,3,FALSE)</f>
        <v>House bank 1 to 10 Withdraw</v>
      </c>
      <c r="C33" s="10" t="s">
        <v>88</v>
      </c>
      <c r="H33" s="25" t="s">
        <v>169</v>
      </c>
      <c r="I33" t="s">
        <v>100</v>
      </c>
      <c r="J33" s="12" t="s">
        <v>91</v>
      </c>
      <c r="M33" t="s">
        <v>179</v>
      </c>
      <c r="N33" s="1" t="s">
        <v>91</v>
      </c>
      <c r="O33" s="1" t="s">
        <v>91</v>
      </c>
    </row>
    <row r="34" spans="1:15" ht="50.1" customHeight="1" x14ac:dyDescent="0.25">
      <c r="A34" s="6" t="s">
        <v>38</v>
      </c>
      <c r="B34" s="26" t="str">
        <f>VLOOKUP(A34,'LibFilters3 filterPanelIds'!$A$3:$C$1000,3,FALSE)</f>
        <v>Player inventory</v>
      </c>
      <c r="C34" s="11" t="s">
        <v>89</v>
      </c>
      <c r="H34" s="4" t="s">
        <v>161</v>
      </c>
      <c r="I34" t="s">
        <v>155</v>
      </c>
      <c r="N34" s="1" t="s">
        <v>91</v>
      </c>
      <c r="O34" s="1" t="s">
        <v>91</v>
      </c>
    </row>
    <row r="35" spans="1:15" ht="50.1" customHeight="1" x14ac:dyDescent="0.25">
      <c r="A35" s="6" t="s">
        <v>38</v>
      </c>
      <c r="B35" s="26" t="str">
        <f>VLOOKUP(A35,'LibFilters3 filterPanelIds'!$A$3:$C$1000,3,FALSE)</f>
        <v>Player inventory</v>
      </c>
      <c r="C35" s="10" t="s">
        <v>88</v>
      </c>
      <c r="D35" s="14" t="s">
        <v>91</v>
      </c>
      <c r="E35" t="s">
        <v>132</v>
      </c>
      <c r="H35" s="24" t="s">
        <v>94</v>
      </c>
      <c r="I35" t="s">
        <v>92</v>
      </c>
      <c r="J35" s="12" t="s">
        <v>91</v>
      </c>
      <c r="M35" s="3" t="s">
        <v>93</v>
      </c>
      <c r="N35" s="1" t="s">
        <v>91</v>
      </c>
      <c r="O35" s="1" t="s">
        <v>91</v>
      </c>
    </row>
    <row r="36" spans="1:15" ht="50.1" customHeight="1" x14ac:dyDescent="0.25">
      <c r="A36" s="6" t="s">
        <v>59</v>
      </c>
      <c r="B36" s="26" t="str">
        <f>VLOOKUP(A36,'LibFilters3 filterPanelIds'!$A$3:$C$1000,3,FALSE)</f>
        <v>Companion inventory (Equipment)</v>
      </c>
      <c r="C36" s="11" t="s">
        <v>89</v>
      </c>
      <c r="H36" s="16" t="s">
        <v>131</v>
      </c>
      <c r="I36" t="s">
        <v>99</v>
      </c>
      <c r="J36" s="12" t="s">
        <v>91</v>
      </c>
      <c r="N36" s="1" t="s">
        <v>91</v>
      </c>
      <c r="O36" s="1" t="s">
        <v>91</v>
      </c>
    </row>
    <row r="37" spans="1:15" ht="50.1" customHeight="1" x14ac:dyDescent="0.25">
      <c r="A37" s="6" t="s">
        <v>59</v>
      </c>
      <c r="B37" s="26" t="str">
        <f>VLOOKUP(A37,'LibFilters3 filterPanelIds'!$A$3:$C$1000,3,FALSE)</f>
        <v>Companion inventory (Equipment)</v>
      </c>
      <c r="C37" s="10" t="s">
        <v>88</v>
      </c>
      <c r="H37" t="s">
        <v>98</v>
      </c>
      <c r="I37" t="s">
        <v>99</v>
      </c>
      <c r="J37" s="12" t="s">
        <v>91</v>
      </c>
      <c r="N37" s="1" t="s">
        <v>91</v>
      </c>
      <c r="O37" s="1" t="s">
        <v>91</v>
      </c>
    </row>
    <row r="38" spans="1:15" ht="50.1" customHeight="1" x14ac:dyDescent="0.25">
      <c r="A38" s="6" t="s">
        <v>58</v>
      </c>
      <c r="B38" s="26" t="str">
        <f>VLOOKUP(A38,'LibFilters3 filterPanelIds'!$A$3:$C$1000,3,FALSE)</f>
        <v>Inventory quest items</v>
      </c>
      <c r="C38" s="11" t="s">
        <v>89</v>
      </c>
      <c r="H38" s="4" t="s">
        <v>162</v>
      </c>
      <c r="I38" s="23" t="s">
        <v>155</v>
      </c>
      <c r="N38" s="1" t="s">
        <v>91</v>
      </c>
      <c r="O38" s="1" t="s">
        <v>91</v>
      </c>
    </row>
    <row r="39" spans="1:15" ht="50.1" customHeight="1" x14ac:dyDescent="0.25">
      <c r="A39" s="6" t="s">
        <v>58</v>
      </c>
      <c r="B39" s="26" t="str">
        <f>VLOOKUP(A39,'LibFilters3 filterPanelIds'!$A$3:$C$1000,3,FALSE)</f>
        <v>Inventory quest items</v>
      </c>
      <c r="C39" s="10" t="s">
        <v>88</v>
      </c>
      <c r="H39" s="25" t="s">
        <v>170</v>
      </c>
      <c r="I39" t="s">
        <v>96</v>
      </c>
      <c r="J39" s="12" t="s">
        <v>91</v>
      </c>
      <c r="N39" s="1" t="s">
        <v>91</v>
      </c>
      <c r="O39" s="1" t="s">
        <v>91</v>
      </c>
    </row>
    <row r="40" spans="1:15" ht="50.1" customHeight="1" x14ac:dyDescent="0.25">
      <c r="A40" s="6" t="s">
        <v>62</v>
      </c>
      <c r="B40" s="26" t="str">
        <f>VLOOKUP(A40,'LibFilters3 filterPanelIds'!$A$3:$C$1000,3,FALSE)</f>
        <v>Cyrodiil Vengeance campaign inventory</v>
      </c>
      <c r="C40" s="11" t="s">
        <v>89</v>
      </c>
      <c r="H40" s="4" t="s">
        <v>177</v>
      </c>
      <c r="I40" s="23" t="s">
        <v>155</v>
      </c>
      <c r="N40" s="1" t="s">
        <v>91</v>
      </c>
      <c r="O40" s="1" t="s">
        <v>91</v>
      </c>
    </row>
    <row r="41" spans="1:15" ht="50.1" customHeight="1" x14ac:dyDescent="0.25">
      <c r="A41" s="6" t="s">
        <v>62</v>
      </c>
      <c r="B41" s="26" t="str">
        <f>VLOOKUP(A41,'LibFilters3 filterPanelIds'!$A$3:$C$1000,3,FALSE)</f>
        <v>Cyrodiil Vengeance campaign inventory</v>
      </c>
      <c r="C41" s="10" t="s">
        <v>88</v>
      </c>
      <c r="H41" s="25" t="s">
        <v>171</v>
      </c>
      <c r="I41" t="s">
        <v>96</v>
      </c>
      <c r="J41" s="12" t="s">
        <v>91</v>
      </c>
      <c r="N41" s="1" t="s">
        <v>91</v>
      </c>
      <c r="O41" s="1" t="s">
        <v>91</v>
      </c>
    </row>
    <row r="42" spans="1:15" ht="50.1" customHeight="1" x14ac:dyDescent="0.25">
      <c r="A42" s="8" t="s">
        <v>14</v>
      </c>
      <c r="B42" s="26" t="str">
        <f>VLOOKUP(A42,'LibFilters3 filterPanelIds'!$A$3:$C$1000,3,FALSE)</f>
        <v>Jewelry crafting creation</v>
      </c>
      <c r="C42" t="s">
        <v>85</v>
      </c>
      <c r="E42" s="9" t="s">
        <v>6</v>
      </c>
      <c r="F42" s="9"/>
      <c r="H42" s="19" t="s">
        <v>172</v>
      </c>
      <c r="I42" t="s">
        <v>99</v>
      </c>
      <c r="J42" s="12" t="s">
        <v>91</v>
      </c>
      <c r="M42" s="3" t="s">
        <v>181</v>
      </c>
      <c r="N42" s="1"/>
      <c r="O42" s="1" t="s">
        <v>91</v>
      </c>
    </row>
    <row r="43" spans="1:15" ht="50.1" customHeight="1" x14ac:dyDescent="0.25">
      <c r="A43" s="6" t="s">
        <v>15</v>
      </c>
      <c r="B43" s="26" t="str">
        <f>VLOOKUP(A43,'LibFilters3 filterPanelIds'!$A$3:$C$1000,3,FALSE)</f>
        <v>Jewelry crafting deconstruction</v>
      </c>
      <c r="C43" s="11" t="s">
        <v>89</v>
      </c>
      <c r="H43" s="19" t="s">
        <v>173</v>
      </c>
      <c r="I43" t="s">
        <v>99</v>
      </c>
      <c r="J43" s="12" t="s">
        <v>91</v>
      </c>
      <c r="M43" s="3" t="s">
        <v>181</v>
      </c>
      <c r="N43" s="1" t="s">
        <v>91</v>
      </c>
      <c r="O43" s="1" t="s">
        <v>91</v>
      </c>
    </row>
    <row r="44" spans="1:15" ht="50.1" customHeight="1" x14ac:dyDescent="0.25">
      <c r="A44" s="6" t="s">
        <v>15</v>
      </c>
      <c r="B44" s="26" t="str">
        <f>VLOOKUP(A44,'LibFilters3 filterPanelIds'!$A$3:$C$1000,3,FALSE)</f>
        <v>Jewelry crafting deconstruction</v>
      </c>
      <c r="C44" s="10" t="s">
        <v>88</v>
      </c>
      <c r="H44" s="19" t="s">
        <v>173</v>
      </c>
      <c r="I44" t="s">
        <v>99</v>
      </c>
      <c r="J44" s="12" t="s">
        <v>91</v>
      </c>
      <c r="M44" t="s">
        <v>127</v>
      </c>
      <c r="N44" s="1" t="s">
        <v>91</v>
      </c>
      <c r="O44" s="1" t="s">
        <v>91</v>
      </c>
    </row>
    <row r="45" spans="1:15" ht="50.1" customHeight="1" x14ac:dyDescent="0.25">
      <c r="A45" s="6" t="s">
        <v>16</v>
      </c>
      <c r="B45" s="26" t="str">
        <f>VLOOKUP(A45,'LibFilters3 filterPanelIds'!$A$3:$C$1000,3,FALSE)</f>
        <v>Jewelry crafting improvement</v>
      </c>
      <c r="C45" s="11" t="s">
        <v>89</v>
      </c>
      <c r="H45" s="19" t="s">
        <v>174</v>
      </c>
      <c r="I45" t="s">
        <v>99</v>
      </c>
      <c r="J45" s="12" t="s">
        <v>91</v>
      </c>
      <c r="M45" s="3" t="s">
        <v>181</v>
      </c>
      <c r="N45" s="1" t="s">
        <v>91</v>
      </c>
      <c r="O45" s="1" t="s">
        <v>91</v>
      </c>
    </row>
    <row r="46" spans="1:15" ht="50.1" customHeight="1" x14ac:dyDescent="0.25">
      <c r="A46" s="6" t="s">
        <v>16</v>
      </c>
      <c r="B46" s="26" t="str">
        <f>VLOOKUP(A46,'LibFilters3 filterPanelIds'!$A$3:$C$1000,3,FALSE)</f>
        <v>Jewelry crafting improvement</v>
      </c>
      <c r="C46" s="10" t="s">
        <v>88</v>
      </c>
      <c r="H46" s="19" t="s">
        <v>174</v>
      </c>
      <c r="I46" t="s">
        <v>99</v>
      </c>
      <c r="J46" s="12" t="s">
        <v>91</v>
      </c>
      <c r="M46" t="s">
        <v>127</v>
      </c>
      <c r="N46" s="1" t="s">
        <v>91</v>
      </c>
      <c r="O46" s="1" t="s">
        <v>91</v>
      </c>
    </row>
    <row r="47" spans="1:15" ht="50.1" customHeight="1" x14ac:dyDescent="0.25">
      <c r="A47" s="6" t="s">
        <v>13</v>
      </c>
      <c r="B47" s="26" t="str">
        <f>VLOOKUP(A47,'LibFilters3 filterPanelIds'!$A$3:$C$1000,3,FALSE)</f>
        <v>Jewelry crafting refinement</v>
      </c>
      <c r="C47" s="11" t="s">
        <v>89</v>
      </c>
      <c r="H47" s="19" t="s">
        <v>175</v>
      </c>
      <c r="I47" t="s">
        <v>99</v>
      </c>
      <c r="J47" s="12" t="s">
        <v>91</v>
      </c>
      <c r="M47" s="3" t="s">
        <v>181</v>
      </c>
      <c r="N47" s="1" t="s">
        <v>91</v>
      </c>
      <c r="O47" s="1" t="s">
        <v>91</v>
      </c>
    </row>
    <row r="48" spans="1:15" ht="50.1" customHeight="1" x14ac:dyDescent="0.25">
      <c r="A48" s="6" t="s">
        <v>13</v>
      </c>
      <c r="B48" s="26" t="str">
        <f>VLOOKUP(A48,'LibFilters3 filterPanelIds'!$A$3:$C$1000,3,FALSE)</f>
        <v>Jewelry crafting refinement</v>
      </c>
      <c r="C48" s="10" t="s">
        <v>88</v>
      </c>
      <c r="H48" s="19" t="s">
        <v>175</v>
      </c>
      <c r="I48" t="s">
        <v>99</v>
      </c>
      <c r="J48" s="12" t="s">
        <v>91</v>
      </c>
      <c r="M48" t="s">
        <v>127</v>
      </c>
      <c r="N48" s="1" t="s">
        <v>91</v>
      </c>
      <c r="O48" s="1" t="s">
        <v>91</v>
      </c>
    </row>
    <row r="49" spans="1:15" ht="50.1" customHeight="1" x14ac:dyDescent="0.25">
      <c r="A49" s="6" t="s">
        <v>17</v>
      </c>
      <c r="B49" s="26" t="str">
        <f>VLOOKUP(A49,'LibFilters3 filterPanelIds'!$A$3:$C$1000,3,FALSE)</f>
        <v>Jewelry crafting research trait list</v>
      </c>
      <c r="C49" s="11" t="s">
        <v>89</v>
      </c>
      <c r="H49" s="5" t="s">
        <v>176</v>
      </c>
      <c r="I49" t="s">
        <v>99</v>
      </c>
      <c r="J49" s="12" t="s">
        <v>91</v>
      </c>
      <c r="M49" s="3" t="s">
        <v>181</v>
      </c>
      <c r="N49" s="1" t="s">
        <v>91</v>
      </c>
      <c r="O49" s="1" t="s">
        <v>91</v>
      </c>
    </row>
    <row r="50" spans="1:15" ht="50.1" customHeight="1" x14ac:dyDescent="0.25">
      <c r="A50" s="6" t="s">
        <v>17</v>
      </c>
      <c r="B50" s="26" t="str">
        <f>VLOOKUP(A50,'LibFilters3 filterPanelIds'!$A$3:$C$1000,3,FALSE)</f>
        <v>Jewelry crafting research trait list</v>
      </c>
      <c r="C50" s="10" t="s">
        <v>88</v>
      </c>
      <c r="H50" s="5" t="s">
        <v>176</v>
      </c>
      <c r="I50" t="s">
        <v>99</v>
      </c>
      <c r="J50" s="12" t="s">
        <v>91</v>
      </c>
      <c r="M50" t="s">
        <v>127</v>
      </c>
      <c r="N50" s="1" t="s">
        <v>91</v>
      </c>
      <c r="O50" s="1" t="s">
        <v>91</v>
      </c>
    </row>
    <row r="51" spans="1:15" ht="50.1" customHeight="1" x14ac:dyDescent="0.25">
      <c r="A51" s="6" t="s">
        <v>18</v>
      </c>
      <c r="B51" s="26" t="str">
        <f>VLOOKUP(A51,'LibFilters3 filterPanelIds'!$A$3:$C$1000,3,FALSE)</f>
        <v>Jewelry crafting research item selection popup</v>
      </c>
      <c r="C51" s="11" t="s">
        <v>89</v>
      </c>
      <c r="H51" s="15" t="s">
        <v>152</v>
      </c>
      <c r="I51" t="s">
        <v>129</v>
      </c>
      <c r="J51" s="12" t="s">
        <v>91</v>
      </c>
      <c r="M51" s="3" t="s">
        <v>127</v>
      </c>
      <c r="N51" s="1" t="s">
        <v>91</v>
      </c>
      <c r="O51" s="1" t="s">
        <v>91</v>
      </c>
    </row>
    <row r="52" spans="1:15" ht="50.1" customHeight="1" x14ac:dyDescent="0.25">
      <c r="A52" s="6" t="s">
        <v>18</v>
      </c>
      <c r="B52" s="26" t="str">
        <f>VLOOKUP(A52,'LibFilters3 filterPanelIds'!$A$3:$C$1000,3,FALSE)</f>
        <v>Jewelry crafting research item selection popup</v>
      </c>
      <c r="C52" s="10" t="s">
        <v>88</v>
      </c>
      <c r="H52" s="16" t="s">
        <v>125</v>
      </c>
      <c r="I52" t="s">
        <v>99</v>
      </c>
      <c r="J52" s="12" t="s">
        <v>91</v>
      </c>
      <c r="M52" t="s">
        <v>127</v>
      </c>
      <c r="N52" s="1" t="s">
        <v>91</v>
      </c>
      <c r="O52" s="1" t="s">
        <v>91</v>
      </c>
    </row>
    <row r="53" spans="1:15" ht="50.1" customHeight="1" x14ac:dyDescent="0.25">
      <c r="A53" s="6" t="s">
        <v>50</v>
      </c>
      <c r="B53" s="26" t="str">
        <f>VLOOKUP(A53,'LibFilters3 filterPanelIds'!$A$3:$C$1000,3,FALSE)</f>
        <v>Mail send</v>
      </c>
      <c r="C53" s="11" t="s">
        <v>89</v>
      </c>
      <c r="H53" s="4" t="s">
        <v>163</v>
      </c>
      <c r="I53" s="23" t="s">
        <v>155</v>
      </c>
      <c r="N53" s="1" t="s">
        <v>91</v>
      </c>
      <c r="O53" s="1" t="s">
        <v>91</v>
      </c>
    </row>
    <row r="54" spans="1:15" ht="50.1" customHeight="1" x14ac:dyDescent="0.25">
      <c r="A54" s="6" t="s">
        <v>50</v>
      </c>
      <c r="B54" s="26" t="str">
        <f>VLOOKUP(A54,'LibFilters3 filterPanelIds'!$A$3:$C$1000,3,FALSE)</f>
        <v>Mail send</v>
      </c>
      <c r="C54" s="10" t="s">
        <v>88</v>
      </c>
      <c r="H54" s="24" t="s">
        <v>123</v>
      </c>
      <c r="I54" t="s">
        <v>92</v>
      </c>
      <c r="J54" s="12" t="s">
        <v>91</v>
      </c>
      <c r="N54" s="1" t="s">
        <v>91</v>
      </c>
      <c r="O54" s="1" t="s">
        <v>91</v>
      </c>
    </row>
    <row r="55" spans="1:15" ht="50.1" customHeight="1" x14ac:dyDescent="0.25">
      <c r="A55" s="8" t="s">
        <v>27</v>
      </c>
      <c r="B55" s="26" t="str">
        <f>VLOOKUP(A55,'LibFilters3 filterPanelIds'!$A$3:$C$1000,3,FALSE)</f>
        <v>Provisioner brewing drinks</v>
      </c>
      <c r="C55" s="20" t="s">
        <v>85</v>
      </c>
      <c r="E55" s="9" t="s">
        <v>6</v>
      </c>
      <c r="F55" s="9"/>
      <c r="N55" s="1"/>
      <c r="O55" s="1" t="s">
        <v>91</v>
      </c>
    </row>
    <row r="56" spans="1:15" ht="50.1" customHeight="1" x14ac:dyDescent="0.25">
      <c r="A56" s="8" t="s">
        <v>26</v>
      </c>
      <c r="B56" s="26" t="str">
        <f>VLOOKUP(A56,'LibFilters3 filterPanelIds'!$A$3:$C$1000,3,FALSE)</f>
        <v>Provisioner cooking food</v>
      </c>
      <c r="C56" s="20" t="s">
        <v>85</v>
      </c>
      <c r="E56" s="9" t="s">
        <v>6</v>
      </c>
      <c r="F56" s="9"/>
      <c r="N56" s="1"/>
      <c r="O56" s="1" t="s">
        <v>91</v>
      </c>
    </row>
    <row r="57" spans="1:15" ht="50.1" customHeight="1" x14ac:dyDescent="0.25">
      <c r="A57" s="6" t="s">
        <v>55</v>
      </c>
      <c r="B57" s="26" t="str">
        <f>VLOOKUP(A57,'LibFilters3 filterPanelIds'!$A$3:$C$1000,3,FALSE)</f>
        <v>Quickslot wheel's inventory</v>
      </c>
      <c r="C57" s="11" t="s">
        <v>89</v>
      </c>
      <c r="H57" s="24" t="s">
        <v>164</v>
      </c>
      <c r="I57" t="s">
        <v>92</v>
      </c>
      <c r="J57" s="12" t="s">
        <v>91</v>
      </c>
      <c r="N57" s="1" t="s">
        <v>91</v>
      </c>
      <c r="O57" s="1" t="s">
        <v>91</v>
      </c>
    </row>
    <row r="58" spans="1:15" ht="50.1" customHeight="1" x14ac:dyDescent="0.25">
      <c r="A58" s="6" t="s">
        <v>55</v>
      </c>
      <c r="B58" s="26" t="str">
        <f>VLOOKUP(A58,'LibFilters3 filterPanelIds'!$A$3:$C$1000,3,FALSE)</f>
        <v>Quickslot wheel's inventory</v>
      </c>
      <c r="C58" s="10" t="s">
        <v>88</v>
      </c>
      <c r="H58" s="11" t="s">
        <v>97</v>
      </c>
      <c r="I58" t="s">
        <v>99</v>
      </c>
      <c r="J58" s="12" t="s">
        <v>91</v>
      </c>
      <c r="N58" s="1" t="s">
        <v>91</v>
      </c>
      <c r="O58" s="1" t="s">
        <v>91</v>
      </c>
    </row>
    <row r="59" spans="1:15" ht="50.1" customHeight="1" x14ac:dyDescent="0.25">
      <c r="A59" s="6" t="s">
        <v>31</v>
      </c>
      <c r="B59" s="26" t="str">
        <f>VLOOKUP(A59,'LibFilters3 filterPanelIds'!$A$3:$C$1000,3,FALSE)</f>
        <v>Retrait station's retrait panel</v>
      </c>
      <c r="C59" s="11" t="s">
        <v>89</v>
      </c>
      <c r="H59" s="11" t="s">
        <v>97</v>
      </c>
      <c r="I59" t="s">
        <v>99</v>
      </c>
      <c r="J59" s="12" t="s">
        <v>91</v>
      </c>
      <c r="M59" s="23" t="s">
        <v>179</v>
      </c>
      <c r="N59" s="1" t="s">
        <v>91</v>
      </c>
      <c r="O59" s="1" t="s">
        <v>91</v>
      </c>
    </row>
    <row r="60" spans="1:15" ht="50.1" customHeight="1" x14ac:dyDescent="0.25">
      <c r="A60" s="6" t="s">
        <v>31</v>
      </c>
      <c r="B60" s="26" t="str">
        <f>VLOOKUP(A60,'LibFilters3 filterPanelIds'!$A$3:$C$1000,3,FALSE)</f>
        <v>Retrait station's retrait panel</v>
      </c>
      <c r="C60" s="10" t="s">
        <v>88</v>
      </c>
      <c r="H60" s="16" t="s">
        <v>130</v>
      </c>
      <c r="I60" t="s">
        <v>99</v>
      </c>
      <c r="J60" s="12" t="s">
        <v>91</v>
      </c>
      <c r="N60" s="1" t="s">
        <v>91</v>
      </c>
      <c r="O60" s="1" t="s">
        <v>91</v>
      </c>
    </row>
    <row r="61" spans="1:15" ht="50.1" customHeight="1" x14ac:dyDescent="0.25">
      <c r="A61" s="8" t="s">
        <v>5</v>
      </c>
      <c r="B61" s="26" t="str">
        <f>VLOOKUP(A61,'LibFilters3 filterPanelIds'!$A$3:$C$1000,3,FALSE)</f>
        <v>Smithing creation</v>
      </c>
      <c r="C61" t="s">
        <v>85</v>
      </c>
      <c r="E61" s="9" t="s">
        <v>6</v>
      </c>
      <c r="F61" s="9"/>
      <c r="H61" s="19" t="s">
        <v>172</v>
      </c>
      <c r="I61" t="s">
        <v>99</v>
      </c>
      <c r="J61" s="12" t="s">
        <v>91</v>
      </c>
      <c r="M61" s="3" t="s">
        <v>181</v>
      </c>
      <c r="N61" s="1"/>
      <c r="O61" s="1" t="s">
        <v>91</v>
      </c>
    </row>
    <row r="62" spans="1:15" ht="50.1" customHeight="1" x14ac:dyDescent="0.25">
      <c r="A62" s="6" t="s">
        <v>1</v>
      </c>
      <c r="B62" s="26" t="str">
        <f>VLOOKUP(A62,'LibFilters3 filterPanelIds'!$A$3:$C$1000,3,FALSE)</f>
        <v>Smithing deconstruction</v>
      </c>
      <c r="C62" s="11" t="s">
        <v>89</v>
      </c>
      <c r="H62" s="19" t="s">
        <v>173</v>
      </c>
      <c r="I62" t="s">
        <v>99</v>
      </c>
      <c r="J62" s="12" t="s">
        <v>91</v>
      </c>
      <c r="M62" s="3" t="s">
        <v>181</v>
      </c>
      <c r="N62" s="1" t="s">
        <v>91</v>
      </c>
      <c r="O62" s="1" t="s">
        <v>91</v>
      </c>
    </row>
    <row r="63" spans="1:15" ht="50.1" customHeight="1" x14ac:dyDescent="0.25">
      <c r="A63" s="6" t="s">
        <v>1</v>
      </c>
      <c r="B63" s="26" t="str">
        <f>VLOOKUP(A63,'LibFilters3 filterPanelIds'!$A$3:$C$1000,3,FALSE)</f>
        <v>Smithing deconstruction</v>
      </c>
      <c r="C63" s="10" t="s">
        <v>88</v>
      </c>
      <c r="H63" s="19" t="s">
        <v>173</v>
      </c>
      <c r="I63" t="s">
        <v>99</v>
      </c>
      <c r="J63" s="12" t="s">
        <v>91</v>
      </c>
      <c r="M63" t="s">
        <v>127</v>
      </c>
      <c r="N63" s="1" t="s">
        <v>91</v>
      </c>
      <c r="O63" s="1" t="s">
        <v>91</v>
      </c>
    </row>
    <row r="64" spans="1:15" ht="50.1" customHeight="1" x14ac:dyDescent="0.25">
      <c r="A64" s="6" t="s">
        <v>7</v>
      </c>
      <c r="B64" s="26" t="str">
        <f>VLOOKUP(A64,'LibFilters3 filterPanelIds'!$A$3:$C$1000,3,FALSE)</f>
        <v>Smithing improvement</v>
      </c>
      <c r="C64" s="11" t="s">
        <v>89</v>
      </c>
      <c r="H64" s="19" t="s">
        <v>174</v>
      </c>
      <c r="I64" t="s">
        <v>99</v>
      </c>
      <c r="J64" s="12" t="s">
        <v>91</v>
      </c>
      <c r="M64" s="3" t="s">
        <v>181</v>
      </c>
      <c r="N64" s="1" t="s">
        <v>91</v>
      </c>
      <c r="O64" s="1" t="s">
        <v>91</v>
      </c>
    </row>
    <row r="65" spans="1:15" ht="50.1" customHeight="1" x14ac:dyDescent="0.25">
      <c r="A65" s="6" t="s">
        <v>7</v>
      </c>
      <c r="B65" s="26" t="str">
        <f>VLOOKUP(A65,'LibFilters3 filterPanelIds'!$A$3:$C$1000,3,FALSE)</f>
        <v>Smithing improvement</v>
      </c>
      <c r="C65" s="10" t="s">
        <v>88</v>
      </c>
      <c r="H65" s="19" t="s">
        <v>174</v>
      </c>
      <c r="I65" t="s">
        <v>99</v>
      </c>
      <c r="J65" s="12" t="s">
        <v>91</v>
      </c>
      <c r="M65" t="s">
        <v>127</v>
      </c>
      <c r="N65" s="1" t="s">
        <v>91</v>
      </c>
      <c r="O65" s="1" t="s">
        <v>91</v>
      </c>
    </row>
    <row r="66" spans="1:15" ht="50.1" customHeight="1" x14ac:dyDescent="0.25">
      <c r="A66" s="6" t="s">
        <v>0</v>
      </c>
      <c r="B66" s="26" t="str">
        <f>VLOOKUP(A66,'LibFilters3 filterPanelIds'!$A$3:$C$1000,3,FALSE)</f>
        <v>Smithing refinement</v>
      </c>
      <c r="C66" s="11" t="s">
        <v>89</v>
      </c>
      <c r="H66" s="19" t="s">
        <v>175</v>
      </c>
      <c r="I66" t="s">
        <v>99</v>
      </c>
      <c r="J66" s="12" t="s">
        <v>91</v>
      </c>
      <c r="M66" s="3" t="s">
        <v>181</v>
      </c>
      <c r="N66" s="1" t="s">
        <v>91</v>
      </c>
      <c r="O66" s="1" t="s">
        <v>91</v>
      </c>
    </row>
    <row r="67" spans="1:15" ht="50.1" customHeight="1" x14ac:dyDescent="0.25">
      <c r="A67" s="6" t="s">
        <v>0</v>
      </c>
      <c r="B67" s="26" t="str">
        <f>VLOOKUP(A67,'LibFilters3 filterPanelIds'!$A$3:$C$1000,3,FALSE)</f>
        <v>Smithing refinement</v>
      </c>
      <c r="C67" s="10" t="s">
        <v>88</v>
      </c>
      <c r="H67" s="19" t="s">
        <v>175</v>
      </c>
      <c r="I67" t="s">
        <v>99</v>
      </c>
      <c r="J67" s="12" t="s">
        <v>91</v>
      </c>
      <c r="M67" t="s">
        <v>127</v>
      </c>
      <c r="N67" s="1" t="s">
        <v>91</v>
      </c>
      <c r="O67" s="1" t="s">
        <v>91</v>
      </c>
    </row>
    <row r="68" spans="1:15" ht="50.1" customHeight="1" x14ac:dyDescent="0.25">
      <c r="A68" s="6" t="s">
        <v>8</v>
      </c>
      <c r="B68" s="26" t="str">
        <f>VLOOKUP(A68,'LibFilters3 filterPanelIds'!$A$3:$C$1000,3,FALSE)</f>
        <v>Smithing research trait list</v>
      </c>
      <c r="C68" s="11" t="s">
        <v>89</v>
      </c>
      <c r="H68" s="5" t="s">
        <v>176</v>
      </c>
      <c r="I68" t="s">
        <v>99</v>
      </c>
      <c r="J68" s="12" t="s">
        <v>91</v>
      </c>
      <c r="M68" s="3" t="s">
        <v>181</v>
      </c>
      <c r="N68" s="1" t="s">
        <v>91</v>
      </c>
      <c r="O68" s="1" t="s">
        <v>91</v>
      </c>
    </row>
    <row r="69" spans="1:15" ht="50.1" customHeight="1" x14ac:dyDescent="0.25">
      <c r="A69" s="6" t="s">
        <v>8</v>
      </c>
      <c r="B69" s="26" t="str">
        <f>VLOOKUP(A69,'LibFilters3 filterPanelIds'!$A$3:$C$1000,3,FALSE)</f>
        <v>Smithing research trait list</v>
      </c>
      <c r="C69" s="10" t="s">
        <v>88</v>
      </c>
      <c r="H69" s="5" t="s">
        <v>176</v>
      </c>
      <c r="I69" t="s">
        <v>99</v>
      </c>
      <c r="J69" s="12" t="s">
        <v>91</v>
      </c>
      <c r="M69" t="s">
        <v>127</v>
      </c>
      <c r="N69" s="1" t="s">
        <v>91</v>
      </c>
      <c r="O69" s="1" t="s">
        <v>91</v>
      </c>
    </row>
    <row r="70" spans="1:15" ht="50.1" customHeight="1" x14ac:dyDescent="0.25">
      <c r="A70" s="6" t="s">
        <v>9</v>
      </c>
      <c r="B70" s="26" t="str">
        <f>VLOOKUP(A70,'LibFilters3 filterPanelIds'!$A$3:$C$1000,3,FALSE)</f>
        <v>Smithing research item selection popup</v>
      </c>
      <c r="C70" s="11" t="s">
        <v>89</v>
      </c>
      <c r="H70" s="15" t="s">
        <v>152</v>
      </c>
      <c r="I70" t="s">
        <v>129</v>
      </c>
      <c r="J70" s="12" t="s">
        <v>91</v>
      </c>
      <c r="M70" s="3" t="s">
        <v>127</v>
      </c>
      <c r="N70" s="1" t="s">
        <v>91</v>
      </c>
      <c r="O70" s="1" t="s">
        <v>91</v>
      </c>
    </row>
    <row r="71" spans="1:15" ht="50.1" customHeight="1" x14ac:dyDescent="0.25">
      <c r="A71" s="6" t="s">
        <v>9</v>
      </c>
      <c r="B71" s="26" t="str">
        <f>VLOOKUP(A71,'LibFilters3 filterPanelIds'!$A$3:$C$1000,3,FALSE)</f>
        <v>Smithing research item selection popup</v>
      </c>
      <c r="C71" s="10" t="s">
        <v>88</v>
      </c>
      <c r="H71" s="16" t="s">
        <v>125</v>
      </c>
      <c r="I71" t="s">
        <v>99</v>
      </c>
      <c r="J71" s="12" t="s">
        <v>91</v>
      </c>
      <c r="M71" t="s">
        <v>127</v>
      </c>
      <c r="N71" s="1" t="s">
        <v>91</v>
      </c>
      <c r="O71" s="1" t="s">
        <v>91</v>
      </c>
    </row>
    <row r="72" spans="1:15" ht="50.1" customHeight="1" x14ac:dyDescent="0.25">
      <c r="A72" s="6" t="s">
        <v>51</v>
      </c>
      <c r="B72" s="26" t="str">
        <f>VLOOKUP(A72,'LibFilters3 filterPanelIds'!$A$3:$C$1000,3,FALSE)</f>
        <v>Player to player trade</v>
      </c>
      <c r="C72" s="11" t="s">
        <v>89</v>
      </c>
      <c r="H72" s="4" t="s">
        <v>165</v>
      </c>
      <c r="I72" s="23" t="s">
        <v>155</v>
      </c>
      <c r="N72" s="1" t="s">
        <v>91</v>
      </c>
      <c r="O72" s="1" t="s">
        <v>91</v>
      </c>
    </row>
    <row r="73" spans="1:15" ht="50.1" customHeight="1" x14ac:dyDescent="0.25">
      <c r="A73" s="6" t="s">
        <v>51</v>
      </c>
      <c r="B73" s="26" t="str">
        <f>VLOOKUP(A73,'LibFilters3 filterPanelIds'!$A$3:$C$1000,3,FALSE)</f>
        <v>Player to player trade</v>
      </c>
      <c r="C73" s="10" t="s">
        <v>88</v>
      </c>
      <c r="H73" s="24" t="s">
        <v>124</v>
      </c>
      <c r="I73" t="s">
        <v>92</v>
      </c>
      <c r="J73" s="12" t="s">
        <v>91</v>
      </c>
      <c r="N73" s="1" t="s">
        <v>91</v>
      </c>
      <c r="O73" s="1" t="s">
        <v>91</v>
      </c>
    </row>
    <row r="74" spans="1:15" ht="50.1" customHeight="1" x14ac:dyDescent="0.25">
      <c r="A74" s="6" t="s">
        <v>44</v>
      </c>
      <c r="B74" s="26" t="str">
        <f>VLOOKUP(A74,'LibFilters3 filterPanelIds'!$A$3:$C$1000,3,FALSE)</f>
        <v>Vendor Buy</v>
      </c>
      <c r="C74" s="11" t="s">
        <v>89</v>
      </c>
      <c r="H74" s="16" t="s">
        <v>144</v>
      </c>
      <c r="I74" t="s">
        <v>126</v>
      </c>
      <c r="J74" s="12" t="s">
        <v>91</v>
      </c>
      <c r="N74" s="1" t="s">
        <v>91</v>
      </c>
      <c r="O74" s="1" t="s">
        <v>91</v>
      </c>
    </row>
    <row r="75" spans="1:15" ht="50.1" customHeight="1" x14ac:dyDescent="0.25">
      <c r="A75" s="6" t="s">
        <v>44</v>
      </c>
      <c r="B75" s="26" t="str">
        <f>VLOOKUP(A75,'LibFilters3 filterPanelIds'!$A$3:$C$1000,3,FALSE)</f>
        <v>Vendor Buy</v>
      </c>
      <c r="C75" s="10" t="s">
        <v>88</v>
      </c>
      <c r="H75" s="16" t="s">
        <v>113</v>
      </c>
      <c r="I75" t="s">
        <v>99</v>
      </c>
      <c r="J75" s="12" t="s">
        <v>91</v>
      </c>
      <c r="N75" s="1" t="s">
        <v>91</v>
      </c>
      <c r="O75" s="1" t="s">
        <v>91</v>
      </c>
    </row>
    <row r="76" spans="1:15" ht="50.1" customHeight="1" x14ac:dyDescent="0.25">
      <c r="A76" s="6" t="s">
        <v>46</v>
      </c>
      <c r="B76" s="26" t="str">
        <f>VLOOKUP(A76,'LibFilters3 filterPanelIds'!$A$3:$C$1000,3,FALSE)</f>
        <v>Vendor Buyback</v>
      </c>
      <c r="C76" s="11" t="s">
        <v>89</v>
      </c>
      <c r="H76" s="16" t="s">
        <v>148</v>
      </c>
      <c r="I76" t="s">
        <v>126</v>
      </c>
      <c r="J76" s="12" t="s">
        <v>91</v>
      </c>
      <c r="N76" s="1" t="s">
        <v>91</v>
      </c>
      <c r="O76" s="1" t="s">
        <v>91</v>
      </c>
    </row>
    <row r="77" spans="1:15" ht="50.1" customHeight="1" x14ac:dyDescent="0.25">
      <c r="A77" s="6" t="s">
        <v>46</v>
      </c>
      <c r="B77" s="26" t="str">
        <f>VLOOKUP(A77,'LibFilters3 filterPanelIds'!$A$3:$C$1000,3,FALSE)</f>
        <v>Vendor Buyback</v>
      </c>
      <c r="C77" s="10" t="s">
        <v>88</v>
      </c>
      <c r="H77" s="16" t="s">
        <v>117</v>
      </c>
      <c r="I77" t="s">
        <v>99</v>
      </c>
      <c r="J77" s="12" t="s">
        <v>91</v>
      </c>
      <c r="N77" s="1" t="s">
        <v>91</v>
      </c>
      <c r="O77" s="1" t="s">
        <v>91</v>
      </c>
    </row>
    <row r="78" spans="1:15" ht="50.1" customHeight="1" x14ac:dyDescent="0.25">
      <c r="A78" s="6" t="s">
        <v>47</v>
      </c>
      <c r="B78" s="26" t="str">
        <f>VLOOKUP(A78,'LibFilters3 filterPanelIds'!$A$3:$C$1000,3,FALSE)</f>
        <v>Vendor Repair</v>
      </c>
      <c r="C78" s="11" t="s">
        <v>89</v>
      </c>
      <c r="H78" s="16" t="s">
        <v>149</v>
      </c>
      <c r="I78" t="s">
        <v>126</v>
      </c>
      <c r="J78" s="12" t="s">
        <v>91</v>
      </c>
      <c r="N78" s="1" t="s">
        <v>91</v>
      </c>
      <c r="O78" s="1" t="s">
        <v>91</v>
      </c>
    </row>
    <row r="79" spans="1:15" ht="50.1" customHeight="1" x14ac:dyDescent="0.25">
      <c r="A79" s="6" t="s">
        <v>47</v>
      </c>
      <c r="B79" s="26" t="str">
        <f>VLOOKUP(A79,'LibFilters3 filterPanelIds'!$A$3:$C$1000,3,FALSE)</f>
        <v>Vendor Repair</v>
      </c>
      <c r="C79" s="10" t="s">
        <v>88</v>
      </c>
      <c r="H79" s="16" t="s">
        <v>118</v>
      </c>
      <c r="I79" t="s">
        <v>99</v>
      </c>
      <c r="J79" s="12" t="s">
        <v>91</v>
      </c>
      <c r="N79" s="1" t="s">
        <v>91</v>
      </c>
      <c r="O79" s="1" t="s">
        <v>91</v>
      </c>
    </row>
    <row r="80" spans="1:15" ht="50.1" customHeight="1" x14ac:dyDescent="0.25">
      <c r="A80" s="6" t="s">
        <v>45</v>
      </c>
      <c r="B80" s="26" t="str">
        <f>VLOOKUP(A80,'LibFilters3 filterPanelIds'!$A$3:$C$1000,3,FALSE)</f>
        <v>Vendor Sell</v>
      </c>
      <c r="C80" s="11" t="s">
        <v>89</v>
      </c>
      <c r="H80" s="16" t="s">
        <v>146</v>
      </c>
      <c r="I80" t="s">
        <v>126</v>
      </c>
      <c r="J80" s="12" t="s">
        <v>91</v>
      </c>
      <c r="N80" s="1" t="s">
        <v>91</v>
      </c>
      <c r="O80" s="1" t="s">
        <v>91</v>
      </c>
    </row>
    <row r="81" spans="1:15" ht="50.1" customHeight="1" x14ac:dyDescent="0.25">
      <c r="A81" s="6" t="s">
        <v>45</v>
      </c>
      <c r="B81" s="26" t="str">
        <f>VLOOKUP(A81,'LibFilters3 filterPanelIds'!$A$3:$C$1000,3,FALSE)</f>
        <v>Vendor Sell</v>
      </c>
      <c r="C81" s="10" t="s">
        <v>88</v>
      </c>
      <c r="H81" s="24" t="s">
        <v>114</v>
      </c>
      <c r="I81" t="s">
        <v>92</v>
      </c>
      <c r="J81" s="12" t="s">
        <v>91</v>
      </c>
      <c r="M81" t="s">
        <v>115</v>
      </c>
      <c r="N81" s="1" t="s">
        <v>91</v>
      </c>
      <c r="O81" s="1" t="s">
        <v>91</v>
      </c>
    </row>
    <row r="82" spans="1:15" ht="50.1" customHeight="1" x14ac:dyDescent="0.25">
      <c r="A82" s="6" t="s">
        <v>63</v>
      </c>
      <c r="B82" s="26" t="str">
        <f>VLOOKUP(A82,'LibFilters3 filterPanelIds'!$A$3:$C$1000,3,FALSE)</f>
        <v>Cyrodiil Vengeance campaign vendor Sell</v>
      </c>
      <c r="C82" s="11" t="s">
        <v>89</v>
      </c>
      <c r="H82" s="16" t="s">
        <v>147</v>
      </c>
      <c r="I82" t="s">
        <v>126</v>
      </c>
      <c r="J82" s="12" t="s">
        <v>91</v>
      </c>
      <c r="N82" s="1" t="s">
        <v>91</v>
      </c>
      <c r="O82" s="1" t="s">
        <v>91</v>
      </c>
    </row>
    <row r="83" spans="1:15" ht="50.1" customHeight="1" x14ac:dyDescent="0.25">
      <c r="A83" s="6" t="s">
        <v>63</v>
      </c>
      <c r="B83" s="26" t="str">
        <f>VLOOKUP(A83,'LibFilters3 filterPanelIds'!$A$3:$C$1000,3,FALSE)</f>
        <v>Cyrodiil Vengeance campaign vendor Sell</v>
      </c>
      <c r="C83" s="10" t="s">
        <v>88</v>
      </c>
      <c r="H83" s="24" t="s">
        <v>114</v>
      </c>
      <c r="I83" t="s">
        <v>92</v>
      </c>
      <c r="J83" s="12" t="s">
        <v>91</v>
      </c>
      <c r="M83" t="s">
        <v>116</v>
      </c>
      <c r="N83" s="1" t="s">
        <v>91</v>
      </c>
      <c r="O83" s="1" t="s">
        <v>91</v>
      </c>
    </row>
    <row r="84" spans="1:15" x14ac:dyDescent="0.25">
      <c r="B84" s="26"/>
    </row>
    <row r="85" spans="1:15" x14ac:dyDescent="0.25">
      <c r="B85" s="26"/>
    </row>
    <row r="86" spans="1:15" x14ac:dyDescent="0.25">
      <c r="B86" s="26"/>
    </row>
    <row r="87" spans="1:15" x14ac:dyDescent="0.25">
      <c r="B87" s="26"/>
    </row>
    <row r="88" spans="1:15" x14ac:dyDescent="0.25">
      <c r="B88" s="26"/>
    </row>
    <row r="89" spans="1:15" x14ac:dyDescent="0.25">
      <c r="B89" s="26"/>
    </row>
    <row r="90" spans="1:15" x14ac:dyDescent="0.25">
      <c r="B90" s="26"/>
    </row>
    <row r="91" spans="1:15" x14ac:dyDescent="0.25">
      <c r="B91" s="26"/>
    </row>
    <row r="92" spans="1:15" x14ac:dyDescent="0.25">
      <c r="B92" s="26"/>
    </row>
  </sheetData>
  <autoFilter ref="A2:O83" xr:uid="{00000000-0001-0000-0000-000000000000}"/>
  <sortState xmlns:xlrd2="http://schemas.microsoft.com/office/spreadsheetml/2017/richdata2" ref="A3:L83">
    <sortCondition ref="A3:A83"/>
    <sortCondition ref="C3:C83"/>
  </sortState>
  <mergeCells count="1">
    <mergeCell ref="A1:M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90E01-C26F-4DB3-9912-E591874AEAB9}">
  <dimension ref="A1:Q1"/>
  <sheetViews>
    <sheetView workbookViewId="0">
      <selection sqref="A1:Q1"/>
    </sheetView>
  </sheetViews>
  <sheetFormatPr baseColWidth="10" defaultRowHeight="15" x14ac:dyDescent="0.25"/>
  <cols>
    <col min="17" max="17" width="13.7109375" customWidth="1"/>
  </cols>
  <sheetData>
    <row r="1" spans="1:17" x14ac:dyDescent="0.25">
      <c r="A1" s="22" t="s">
        <v>142</v>
      </c>
      <c r="B1" s="22"/>
      <c r="C1" s="22"/>
      <c r="D1" s="22"/>
      <c r="E1" s="22"/>
      <c r="F1" s="22"/>
      <c r="G1" s="22"/>
      <c r="H1" s="22"/>
      <c r="I1" s="22"/>
      <c r="J1" s="22"/>
      <c r="K1" s="22"/>
      <c r="L1" s="22"/>
      <c r="M1" s="22"/>
      <c r="N1" s="22"/>
      <c r="O1" s="22"/>
      <c r="P1" s="22"/>
      <c r="Q1" s="22"/>
    </row>
  </sheetData>
  <mergeCells count="1">
    <mergeCell ref="A1:Q1"/>
  </mergeCell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LibFilters3 filterPanelIds</vt:lpstr>
      <vt:lpstr>LibFilters3 .additionalFilter</vt:lpstr>
      <vt:lpstr>LibFilters3 helper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 Z.</dc:creator>
  <cp:lastModifiedBy>Ziegelt, Patrik</cp:lastModifiedBy>
  <dcterms:created xsi:type="dcterms:W3CDTF">2015-06-05T18:19:34Z</dcterms:created>
  <dcterms:modified xsi:type="dcterms:W3CDTF">2025-12-12T20:59:24Z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acb1fe-c5a2-487a-a0b1-2165e5aed2c7_Enabled">
    <vt:lpwstr>true</vt:lpwstr>
  </property>
  <property fmtid="{D5CDD505-2E9C-101B-9397-08002B2CF9AE}" pid="3" name="MSIP_Label_0facb1fe-c5a2-487a-a0b1-2165e5aed2c7_SetDate">
    <vt:lpwstr>2025-12-12T20:47:53Z</vt:lpwstr>
  </property>
  <property fmtid="{D5CDD505-2E9C-101B-9397-08002B2CF9AE}" pid="4" name="MSIP_Label_0facb1fe-c5a2-487a-a0b1-2165e5aed2c7_Method">
    <vt:lpwstr>Privileged</vt:lpwstr>
  </property>
  <property fmtid="{D5CDD505-2E9C-101B-9397-08002B2CF9AE}" pid="5" name="MSIP_Label_0facb1fe-c5a2-487a-a0b1-2165e5aed2c7_Name">
    <vt:lpwstr>DXC Public</vt:lpwstr>
  </property>
  <property fmtid="{D5CDD505-2E9C-101B-9397-08002B2CF9AE}" pid="6" name="MSIP_Label_0facb1fe-c5a2-487a-a0b1-2165e5aed2c7_SiteId">
    <vt:lpwstr>93f33571-550f-43cf-b09f-cd331338d086</vt:lpwstr>
  </property>
  <property fmtid="{D5CDD505-2E9C-101B-9397-08002B2CF9AE}" pid="7" name="MSIP_Label_0facb1fe-c5a2-487a-a0b1-2165e5aed2c7_ActionId">
    <vt:lpwstr>d896e807-b0d8-47cb-81ad-6a34df20d4f9</vt:lpwstr>
  </property>
  <property fmtid="{D5CDD505-2E9C-101B-9397-08002B2CF9AE}" pid="8" name="MSIP_Label_0facb1fe-c5a2-487a-a0b1-2165e5aed2c7_ContentBits">
    <vt:lpwstr>0</vt:lpwstr>
  </property>
  <property fmtid="{D5CDD505-2E9C-101B-9397-08002B2CF9AE}" pid="9" name="MSIP_Label_0facb1fe-c5a2-487a-a0b1-2165e5aed2c7_Tag">
    <vt:lpwstr>10, 0, 1, 1</vt:lpwstr>
  </property>
</Properties>
</file>