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Q:\Tools\!Spiele\TESO\Addons\!!! Libraries\LibFilters-3.0\!!Helpers\"/>
    </mc:Choice>
  </mc:AlternateContent>
  <xr:revisionPtr revIDLastSave="0" documentId="13_ncr:1_{4698FD80-D835-4A5B-A26A-2E81CD49EFBE}" xr6:coauthVersionLast="47" xr6:coauthVersionMax="47" xr10:uidLastSave="{00000000-0000-0000-0000-000000000000}"/>
  <bookViews>
    <workbookView xWindow="-120" yWindow="-120" windowWidth="29040" windowHeight="15720" activeTab="1" xr2:uid="{00000000-000D-0000-FFFF-FFFF00000000}"/>
  </bookViews>
  <sheets>
    <sheet name="LibFilters3 filterPanelIds" sheetId="2" r:id="rId1"/>
    <sheet name="LibFilters3 .additionalFilter" sheetId="1" r:id="rId2"/>
    <sheet name="LibFilters3 helper" sheetId="3" r:id="rId3"/>
  </sheets>
  <definedNames>
    <definedName name="_xlnm._FilterDatabase" localSheetId="1" hidden="1">'LibFilters3 .additionalFilter'!$A$2:$Q$89</definedName>
    <definedName name="_xlnm._FilterDatabase" localSheetId="0" hidden="1">'LibFilters3 filterPanelIds'!$A$2:$E$2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 l="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3" i="1"/>
  <c r="C36" i="1"/>
  <c r="C7" i="1"/>
  <c r="C5" i="1"/>
  <c r="C27" i="1"/>
  <c r="C25" i="1"/>
  <c r="C80" i="1"/>
  <c r="C86" i="1"/>
  <c r="C82" i="1"/>
  <c r="C84" i="1"/>
  <c r="C29" i="1"/>
  <c r="C30" i="1"/>
  <c r="C57" i="1"/>
  <c r="C78" i="1"/>
  <c r="C72" i="1"/>
  <c r="C66" i="1"/>
  <c r="C70" i="1"/>
  <c r="C74" i="1"/>
  <c r="C3" i="1"/>
  <c r="C11" i="1"/>
  <c r="C13" i="1"/>
  <c r="C60" i="1"/>
  <c r="C59" i="1"/>
  <c r="C19" i="1"/>
  <c r="C17" i="1"/>
  <c r="C9" i="1"/>
  <c r="C61" i="1"/>
  <c r="C63" i="1"/>
  <c r="C34" i="1"/>
  <c r="C32" i="1"/>
  <c r="C51" i="1"/>
  <c r="C45" i="1"/>
  <c r="C49" i="1"/>
  <c r="C53" i="1"/>
  <c r="C76" i="1"/>
  <c r="C55" i="1"/>
  <c r="C40" i="1"/>
  <c r="C38" i="1"/>
  <c r="C23" i="1"/>
  <c r="C21" i="1"/>
  <c r="C42" i="1"/>
  <c r="C88" i="1"/>
  <c r="C12" i="1"/>
  <c r="C14" i="1"/>
  <c r="C20" i="1"/>
  <c r="C18" i="1"/>
  <c r="C10" i="1"/>
  <c r="C62" i="1"/>
  <c r="C64" i="1"/>
  <c r="C35" i="1"/>
  <c r="C33" i="1"/>
  <c r="C52" i="1"/>
  <c r="C44" i="1"/>
  <c r="C46" i="1"/>
  <c r="C50" i="1"/>
  <c r="C54" i="1"/>
  <c r="C77" i="1"/>
  <c r="C56" i="1"/>
  <c r="C41" i="1"/>
  <c r="C39" i="1"/>
  <c r="C24" i="1"/>
  <c r="C22" i="1"/>
  <c r="C43" i="1"/>
  <c r="C89" i="1"/>
  <c r="C8" i="1"/>
  <c r="C6" i="1"/>
  <c r="C28" i="1"/>
  <c r="C26" i="1"/>
  <c r="C81" i="1"/>
  <c r="C87" i="1"/>
  <c r="C83" i="1"/>
  <c r="C85" i="1"/>
  <c r="C31" i="1"/>
  <c r="C58" i="1"/>
  <c r="C79" i="1"/>
  <c r="C73" i="1"/>
  <c r="C65" i="1"/>
  <c r="C67" i="1"/>
  <c r="C71" i="1"/>
  <c r="C75" i="1"/>
  <c r="C4" i="1"/>
  <c r="C37" i="1"/>
</calcChain>
</file>

<file path=xl/sharedStrings.xml><?xml version="1.0" encoding="utf-8"?>
<sst xmlns="http://schemas.openxmlformats.org/spreadsheetml/2006/main" count="1069" uniqueCount="251">
  <si>
    <t>LF_SMITHING_REFINE</t>
  </si>
  <si>
    <t>LF_SMITHING_DECONSTRUCT</t>
  </si>
  <si>
    <t>Smithing refinement</t>
  </si>
  <si>
    <t>Smithing deconstruction</t>
  </si>
  <si>
    <t>Smithing creation</t>
  </si>
  <si>
    <t>LF_SMITHING_CREATION</t>
  </si>
  <si>
    <t>Currently not implemented</t>
  </si>
  <si>
    <t>LF_SMITHING_IMPROVEMENT</t>
  </si>
  <si>
    <t>LF_SMITHING_RESEARCH</t>
  </si>
  <si>
    <t>LF_SMITHING_RESEARCH_DIALOG</t>
  </si>
  <si>
    <t>Smithing research item selection popup</t>
  </si>
  <si>
    <t>Smithing research trait list</t>
  </si>
  <si>
    <t>Smithing improvement</t>
  </si>
  <si>
    <t>LF_JEWELRY_REFINE</t>
  </si>
  <si>
    <t>LF_JEWELRY_CREATION</t>
  </si>
  <si>
    <t>LF_JEWELRY_DECONSTRUCT</t>
  </si>
  <si>
    <t>LF_JEWELRY_IMPROVEMENT</t>
  </si>
  <si>
    <t>LF_JEWELRY_RESEARCH</t>
  </si>
  <si>
    <t>LF_JEWELRY_RESEARCH_DIALOG</t>
  </si>
  <si>
    <t>Jewelry crafting refinement</t>
  </si>
  <si>
    <t>Jewelry crafting creation</t>
  </si>
  <si>
    <t>Jewelry crafting deconstruction</t>
  </si>
  <si>
    <t>Jewelry crafting improvement</t>
  </si>
  <si>
    <t>Jewelry crafting research trait list</t>
  </si>
  <si>
    <t>Jewelry crafting research item selection popup</t>
  </si>
  <si>
    <t>LF_ALCHEMY_CREATION</t>
  </si>
  <si>
    <t>LF_PROVISIONING_COOK</t>
  </si>
  <si>
    <t>LF_PROVISIONING_BREW</t>
  </si>
  <si>
    <t>Provisioner brewing drinks</t>
  </si>
  <si>
    <t>Provisioner cooking food</t>
  </si>
  <si>
    <t>Alchemy potion or poison creation</t>
  </si>
  <si>
    <t>LF_RETRAIT</t>
  </si>
  <si>
    <t>Retrait station's retrait panel</t>
  </si>
  <si>
    <t>Universal deconstruction is automatically detected and uses the same LibFilter's
filterPanelIds, just enhances some API functions by returning the currently active UniversalDeconstruction UI's tab "all", "armor", "weapons", "enchanting", "jewelry"</t>
  </si>
  <si>
    <t>LF_ENCHANTING_CREATION</t>
  </si>
  <si>
    <t>LF_ENCHANTING_EXTRACTION</t>
  </si>
  <si>
    <t>Enchanting table's glyph extraction</t>
  </si>
  <si>
    <t>Enchanting table's glyph creation</t>
  </si>
  <si>
    <t>LF_INVENTORY</t>
  </si>
  <si>
    <t>Player inventory</t>
  </si>
  <si>
    <t>LF_BANK_WITHDRAW</t>
  </si>
  <si>
    <t>LF_BANK_DEPOSIT</t>
  </si>
  <si>
    <t>LF_GUILDBANK_WITHDRAW</t>
  </si>
  <si>
    <t>LF_GUILDBANK_DEPOSIT</t>
  </si>
  <si>
    <t>LF_VENDOR_BUY</t>
  </si>
  <si>
    <t>LF_VENDOR_SELL</t>
  </si>
  <si>
    <t>LF_VENDOR_BUYBACK</t>
  </si>
  <si>
    <t>LF_VENDOR_REPAIR</t>
  </si>
  <si>
    <t>LF_GUILDSTORE_BROWSE</t>
  </si>
  <si>
    <t>LF_GUILDSTORE_SELL</t>
  </si>
  <si>
    <t>LF_MAIL_SEND</t>
  </si>
  <si>
    <t>LF_TRADE</t>
  </si>
  <si>
    <t>LF_FENCE_SELL</t>
  </si>
  <si>
    <t>LF_FENCE_LAUNDER</t>
  </si>
  <si>
    <t>LF_CRAFTBAG</t>
  </si>
  <si>
    <t>LF_QUICKSLOT</t>
  </si>
  <si>
    <t>LF_HOUSE_BANK_WITHDRAW</t>
  </si>
  <si>
    <t>LF_HOUSE_BANK_DEPOSIT</t>
  </si>
  <si>
    <t>LF_INVENTORY_QUEST</t>
  </si>
  <si>
    <t>LF_INVENTORY_COMPANION</t>
  </si>
  <si>
    <t>LF_FURNITURE_VAULT_WITHDRAW</t>
  </si>
  <si>
    <t>LF_FURNITURE_VAULT_DEPOSIT</t>
  </si>
  <si>
    <t>LF_INVENTORY_VENGEANCE</t>
  </si>
  <si>
    <t>LF_VENDOR_SELL_VENGEANCE</t>
  </si>
  <si>
    <t>LibFilters filterPanelId constant</t>
  </si>
  <si>
    <t>Value</t>
  </si>
  <si>
    <t>Descritption</t>
  </si>
  <si>
    <t>Fence vendor sell</t>
  </si>
  <si>
    <t>Fence vendor launder</t>
  </si>
  <si>
    <t>CraftBag</t>
  </si>
  <si>
    <t>House bank 1 to 10 Withdraw</t>
  </si>
  <si>
    <t>House bank 1 to 10 Deposit</t>
  </si>
  <si>
    <t>Inventory quest items</t>
  </si>
  <si>
    <t>Player to player trade</t>
  </si>
  <si>
    <t>Mail send</t>
  </si>
  <si>
    <t>Guildstore / Tradinghouse Sell</t>
  </si>
  <si>
    <t>Guildstore / Tradinghouse Search</t>
  </si>
  <si>
    <t>Vendor Repair</t>
  </si>
  <si>
    <t>Vendor Buyback</t>
  </si>
  <si>
    <t>Vendor Sell</t>
  </si>
  <si>
    <t>Vendor Buy</t>
  </si>
  <si>
    <t>Guildbank Deposit</t>
  </si>
  <si>
    <t>Guildbank Withdraw</t>
  </si>
  <si>
    <t>Player bank Withdraw</t>
  </si>
  <si>
    <t>Player bank Deposit</t>
  </si>
  <si>
    <t>B</t>
  </si>
  <si>
    <t>Object, where the .additionalFilter
functions are stored?</t>
  </si>
  <si>
    <t>K</t>
  </si>
  <si>
    <t>G</t>
  </si>
  <si>
    <t>X</t>
  </si>
  <si>
    <t>Fragment</t>
  </si>
  <si>
    <t>2 hooked objects here because ZO_InventoryManager:ApplyBackpackLayout(layoutData) changes PLAYER_INVENTORY.inventories[INVENTORY_BACKPACK].additionalFilter from layoutData.additionalFilter, 
where layoutData could be from fragment BACKPACK_MENU_BAR_LAYOUT_FRAGMENT "or others" -&gt; thus we need to hook both</t>
  </si>
  <si>
    <t>BACKPACK_MENU_BAR_LAYOUT_FRAGMENT.layoutData</t>
  </si>
  <si>
    <t>PLAYER_INVENTORY.inventories[INVENTORY_CRAFT_BAG].additionalFilter gets updated each time from layoutData.additionalCraftBagFilter, as ZO_InventoryManager:ApplyBackpackLayout(layoutData) is called.
Attention: As LF_INVENTORY and LF_CRAFTBAG both get hooked via fragment BACKPACK_MENU_BAR_LAYOUT_FRAGMENT it needs to be applied a
fix at ZO_InventoryManager:ApplyBackpackLayout in order to update layoutData.LibFilters3_filterType with the correct filterType, 
LF_INVENTORY or LF_CRAFTBAG! See file LibFilters-3.0.lua, function hookNow
Else the last hooked one (LF_CRAFTBAG) will be kept as layoutData.LibFilters3_filterType all the time and filtering wont properly work</t>
  </si>
  <si>
    <t>table (Inventory)</t>
  </si>
  <si>
    <t>QUICKSLOT_KEYBOARD</t>
  </si>
  <si>
    <t>COMPANION_EQUIPMENT_KEYBOARD</t>
  </si>
  <si>
    <t>table</t>
  </si>
  <si>
    <t>table (inventory)</t>
  </si>
  <si>
    <t>BACKPACK_BANK_LAYOUT_FRAGMENT.layoutData</t>
  </si>
  <si>
    <t>BACKPACK_GUILD_BANK_LAYOUT_FRAGMENT.layoutData</t>
  </si>
  <si>
    <t>Object for
.additionalFilter
is vanilla?</t>
  </si>
  <si>
    <t>LibFilters helper.lua:
Object/Class/... of overwritten function</t>
  </si>
  <si>
    <t>Implementation comments/Important notes</t>
  </si>
  <si>
    <t>LibFilters:
filterPanelId</t>
  </si>
  <si>
    <t>LibFilters filterPanelId:
Description</t>
  </si>
  <si>
    <t>BACKPACK_HOUSE_BANK_LAYOUT_FRAGMENT.layoutData</t>
  </si>
  <si>
    <t>STORE_WINDOW</t>
  </si>
  <si>
    <t>BACKPACK_STORE_LAYOUT_FRAGMENT.layoutData</t>
  </si>
  <si>
    <t>Uses the same as Cyrodiil Vengeance vendor sell (will be updated one filterPanelId switches)</t>
  </si>
  <si>
    <t>Uses the same as Vendor sell (will be updated one filterPanelId switches)</t>
  </si>
  <si>
    <t>BUY_BACK_WINDOW</t>
  </si>
  <si>
    <t>REPAIR_WINDOW</t>
  </si>
  <si>
    <t>BACKPACK_FENCE_LAYOUT_FRAGMENT.layoutData</t>
  </si>
  <si>
    <t>BACKPACK_FURNITURE_VAULT_LAYOUT_FRAGMENT.layoutData</t>
  </si>
  <si>
    <t>BACKPACK_LAUNDER_LAYOUT_FRAGMENT.layoutData</t>
  </si>
  <si>
    <t>BACKPACK_TRADING_HOUSE_LAYOUT_FRAGMENT.layoutData</t>
  </si>
  <si>
    <t>BACKPACK_MAIL_LAYOUT_FRAGMENT.layoutData</t>
  </si>
  <si>
    <t>BACKPACK_PLAYER_TRADE_LAYOUT_FRAGMENT.layoutData</t>
  </si>
  <si>
    <t>SMITHING_RESEARCH_SELECT</t>
  </si>
  <si>
    <t>userdata</t>
  </si>
  <si>
    <t>filterPanelId will be checked via GetCraftingInteractionType(), if this returns jewelry then it will be the LF_JEWELRY_*, else LF_SMITHING_*</t>
  </si>
  <si>
    <t>SMITHING.researchPanel</t>
  </si>
  <si>
    <t>ALCHEMY_SCENE</t>
  </si>
  <si>
    <t>Scene</t>
  </si>
  <si>
    <t>ZO_RETRAIT_KEYBOARD</t>
  </si>
  <si>
    <t>COMPANION_EQUIPMENT_GAMEPAD</t>
  </si>
  <si>
    <t>Universal deconstruction is automatically detected and uses the same LibFilter's
filterPanelIds, just enhances some API functions by returning the currently active UniversalDeconstruction UI's tab "all", "armor", "weapons", "enchanting", "jewelry"
filterPanelId will be checked via GetCraftingInteractionType(), if this returns jewelry then it will be the LF_JEWELRY_*, else LF_SMITHING_*</t>
  </si>
  <si>
    <t>Comment / Implementation notes</t>
  </si>
  <si>
    <t>Companion inventory (Equipment)</t>
  </si>
  <si>
    <t>Furniture vault Withdraw (ESO+ Housing)</t>
  </si>
  <si>
    <t>Furniture vault Deposit (ESO+ Housing)</t>
  </si>
  <si>
    <t>Cyrodiil Vengeance campaign inventory</t>
  </si>
  <si>
    <t>Cyrodiil Vengeance campaign vendor Sell</t>
  </si>
  <si>
    <t>Quickslot wheel's inventory</t>
  </si>
  <si>
    <t>LibFilters-3.0 helper.lua: Overwrites vanila ZOs objects/functions/etc. in order to make the filterFunctions work and read the .additionalFilter table at the objects/fragments/scenes/userdata where LibFilters has added them</t>
  </si>
  <si>
    <t>LibFilters-3.0 filterPanelIds are global constants in table _G which can be used to identify an actively shown UI, and (Un)Register custom filterFunctions to them, to hide items at these inventories/lists.</t>
  </si>
  <si>
    <t>ZO_GamepadStoreBuy</t>
  </si>
  <si>
    <t>.additionalFilter is the function at e.g. an inventory fragment's layoutData/a scene/a fragment/an object/some userdata where the filterFunctions (vanilla + customs all combined in 1 function) are stored, that are executed once the inventory filters are executed (e.g. only show unbound items at the
trade/mail panel, or only show non-stolen at bank deposit). LibFilters-3.0 uses these existing .additionalFilter, or adds them new to defined objects, or even new created custom fragments (Gamepad) so addons can Register their custom filterFunctions in add. to the vanilla filterFunction.</t>
  </si>
  <si>
    <t>ZO_GamepadStoreSell</t>
  </si>
  <si>
    <t>ZO_GamepadStoreSellVengeance</t>
  </si>
  <si>
    <t>ZO_GamepadStoreBuyback</t>
  </si>
  <si>
    <t>ZO_GamepadStoreRepair</t>
  </si>
  <si>
    <t>ZO_GamepadFenceSell</t>
  </si>
  <si>
    <t>ZO_GamepadFenceLaunder</t>
  </si>
  <si>
    <t>GAMEPAD_SMITHING_RESEARCH_CONFIRM_SCENE</t>
  </si>
  <si>
    <t>GAMEPAD_ENCHANTING_CREATION_SCENE</t>
  </si>
  <si>
    <t>GAMEPAD_ENCHANTING_EXTRACTION_SCENE</t>
  </si>
  <si>
    <t>Custom LibFilters Fragment</t>
  </si>
  <si>
    <t>LIBFILTERS3_BACKPACK_BANK_DEPOSIT_GAMEPAD_FRAGMENT.layoutData</t>
  </si>
  <si>
    <t>LIBFILTERS3_BACKPACK_FURNITURE_VAULT_DEPOSIT_GAMEPAD_FRAGMENT.layoutData</t>
  </si>
  <si>
    <t>LIBFILTERS3_BACKPACK_GUILD_BANK_DEPOSIT_GAMEPAD_FRAGMENT.layoutData</t>
  </si>
  <si>
    <t>LIBFILTERS3_BACKPACK_TRADING_HOUSE_SELL_GAMEPAD_FRAGMENT.layoutData</t>
  </si>
  <si>
    <t>LIBFILTERS3_BACKPACK_HOUSE_BANK_DEPOSIT_GAMEPAD_FRAGMENT.layoutData</t>
  </si>
  <si>
    <t>LIBFILTERS3_BACKPACK_INVENTORY_GAMEPAD_FRAGMENT.layoutData</t>
  </si>
  <si>
    <t>LIBFILTERS3_BACKPACK_INVENTORY_QUEST_GAMEPAD_FRAGMENT.layoutData</t>
  </si>
  <si>
    <t>LIBFILTERS3_BACKPACK_MAIL_SEND_GAMEPAD_FRAGMENT.layoutData</t>
  </si>
  <si>
    <t>GAMEPAD_QUICKSLOT_FRAGMENT.layoutData</t>
  </si>
  <si>
    <t>LIFILTERS3_BACKPACK_PLAYER_TRADE_GAMEPAD_FRAGMENT.layoutData</t>
  </si>
  <si>
    <r>
      <t>PLAYER_INVENTORIES.inventories[</t>
    </r>
    <r>
      <rPr>
        <sz val="11"/>
        <color theme="5" tint="-0.249977111117893"/>
        <rFont val="Calibri"/>
        <family val="2"/>
        <scheme val="minor"/>
      </rPr>
      <t>INVENTORY_BANK</t>
    </r>
    <r>
      <rPr>
        <sz val="11"/>
        <color rgb="FF0070C0"/>
        <rFont val="Calibri"/>
        <family val="2"/>
        <scheme val="minor"/>
      </rPr>
      <t>]</t>
    </r>
  </si>
  <si>
    <r>
      <t>PLAYER_INVENTORIES.inventories[</t>
    </r>
    <r>
      <rPr>
        <sz val="11"/>
        <color theme="5" tint="-0.249977111117893"/>
        <rFont val="Calibri"/>
        <family val="2"/>
        <scheme val="minor"/>
      </rPr>
      <t>INVENTORY_CRAFT_BAG</t>
    </r>
    <r>
      <rPr>
        <sz val="11"/>
        <color rgb="FF0070C0"/>
        <rFont val="Calibri"/>
        <family val="2"/>
        <scheme val="minor"/>
      </rPr>
      <t>]</t>
    </r>
  </si>
  <si>
    <r>
      <t>PLAYER_INVENTORIES.inventories[</t>
    </r>
    <r>
      <rPr>
        <sz val="11"/>
        <color theme="5" tint="-0.249977111117893"/>
        <rFont val="Calibri"/>
        <family val="2"/>
        <scheme val="minor"/>
      </rPr>
      <t>INVENTORY_GUILD_BANK</t>
    </r>
    <r>
      <rPr>
        <sz val="11"/>
        <color rgb="FF0070C0"/>
        <rFont val="Calibri"/>
        <family val="2"/>
        <scheme val="minor"/>
      </rPr>
      <t>]</t>
    </r>
  </si>
  <si>
    <r>
      <t>PLAYER_INVENTORIES.inventories[</t>
    </r>
    <r>
      <rPr>
        <sz val="11"/>
        <color theme="5" tint="-0.249977111117893"/>
        <rFont val="Calibri"/>
        <family val="2"/>
        <scheme val="minor"/>
      </rPr>
      <t>INVENTORY_HOUSE_BANK</t>
    </r>
    <r>
      <rPr>
        <sz val="11"/>
        <color rgb="FF0070C0"/>
        <rFont val="Calibri"/>
        <family val="2"/>
        <scheme val="minor"/>
      </rPr>
      <t>]</t>
    </r>
  </si>
  <si>
    <r>
      <t>PLAYER_INVENTORIES.inventories[</t>
    </r>
    <r>
      <rPr>
        <sz val="11"/>
        <color theme="5" tint="-0.249977111117893"/>
        <rFont val="Calibri"/>
        <family val="2"/>
        <scheme val="minor"/>
      </rPr>
      <t>INVENTORY_QUEST_ITEM</t>
    </r>
    <r>
      <rPr>
        <sz val="11"/>
        <color rgb="FF0070C0"/>
        <rFont val="Calibri"/>
        <family val="2"/>
        <scheme val="minor"/>
      </rPr>
      <t>]</t>
    </r>
  </si>
  <si>
    <r>
      <t>PLAYER_INVENTORIES.inventories[</t>
    </r>
    <r>
      <rPr>
        <sz val="11"/>
        <color theme="5" tint="-0.249977111117893"/>
        <rFont val="Calibri"/>
        <family val="2"/>
        <scheme val="minor"/>
      </rPr>
      <t>INVENTORY_VENGEANCE</t>
    </r>
    <r>
      <rPr>
        <sz val="11"/>
        <color rgb="FF0070C0"/>
        <rFont val="Calibri"/>
        <family val="2"/>
        <scheme val="minor"/>
      </rPr>
      <t>]</t>
    </r>
  </si>
  <si>
    <r>
      <rPr>
        <sz val="10"/>
        <color theme="5" tint="-0.249977111117893"/>
        <rFont val="Consolas"/>
        <family val="3"/>
      </rPr>
      <t>SMITHING</t>
    </r>
    <r>
      <rPr>
        <sz val="10"/>
        <color rgb="FF080808"/>
        <rFont val="Consolas"/>
        <family val="3"/>
      </rPr>
      <t>.creationPanel</t>
    </r>
  </si>
  <si>
    <r>
      <rPr>
        <sz val="10"/>
        <color theme="5" tint="-0.249977111117893"/>
        <rFont val="Consolas"/>
        <family val="3"/>
      </rPr>
      <t>SMITHING</t>
    </r>
    <r>
      <rPr>
        <sz val="10"/>
        <color rgb="FF080808"/>
        <rFont val="Consolas"/>
        <family val="3"/>
      </rPr>
      <t>.deconstructionPanel</t>
    </r>
  </si>
  <si>
    <r>
      <rPr>
        <sz val="10"/>
        <color theme="5" tint="-0.249977111117893"/>
        <rFont val="Consolas"/>
        <family val="3"/>
      </rPr>
      <t>SMITHING</t>
    </r>
    <r>
      <rPr>
        <sz val="10"/>
        <color rgb="FF080808"/>
        <rFont val="Consolas"/>
        <family val="3"/>
      </rPr>
      <t>.improvementPanel</t>
    </r>
  </si>
  <si>
    <r>
      <rPr>
        <sz val="10"/>
        <color theme="5" tint="-0.249977111117893"/>
        <rFont val="Consolas"/>
        <family val="3"/>
      </rPr>
      <t>SMITHING</t>
    </r>
    <r>
      <rPr>
        <sz val="10"/>
        <color rgb="FF080808"/>
        <rFont val="Consolas"/>
        <family val="3"/>
      </rPr>
      <t>.refinementPanel</t>
    </r>
  </si>
  <si>
    <r>
      <rPr>
        <sz val="10"/>
        <color theme="5" tint="-0.249977111117893"/>
        <rFont val="Consolas"/>
        <family val="3"/>
      </rPr>
      <t>SMITHING</t>
    </r>
    <r>
      <rPr>
        <sz val="10"/>
        <color rgb="FF080808"/>
        <rFont val="Consolas"/>
        <family val="3"/>
      </rPr>
      <t>.researchPanel</t>
    </r>
  </si>
  <si>
    <t>LIBFILTERS3_BACKPACK_INVENTORY_VENGEANCE_GAMEPAD_FRAGMENT.layoutData</t>
  </si>
  <si>
    <t>LIBFILTERS3_BACKPACK_CRAFTBAG_GAMEPAD_FRAGMENT.layoutData</t>
  </si>
  <si>
    <t>Fallback to keyboard implementation (means: Uses same objects for .additionalFilter function)</t>
  </si>
  <si>
    <r>
      <t>PLAYER_INVENTORIES.inventories[</t>
    </r>
    <r>
      <rPr>
        <sz val="11"/>
        <color theme="5" tint="-0.249977111117893"/>
        <rFont val="Calibri"/>
        <family val="2"/>
        <scheme val="minor"/>
      </rPr>
      <t>INVENTORY_FURNITURE_VAULT</t>
    </r>
    <r>
      <rPr>
        <sz val="11"/>
        <color rgb="FF0070C0"/>
        <rFont val="Calibri"/>
        <family val="2"/>
        <scheme val="minor"/>
      </rPr>
      <t>]</t>
    </r>
  </si>
  <si>
    <t>filterPanelId will be checked via GetCraftingInteractionType(), if this returns jewelry then it will be the LF_JEWELRY_*, else LF_SMITHING_*
Fallback to keyboard implementation (means: Uses same objects for .additionalFilter function)</t>
  </si>
  <si>
    <t>FilterPanelId  .additionalFilter implemented?</t>
  </si>
  <si>
    <t>Callback SHOW/HIDE implemented?</t>
  </si>
  <si>
    <t>FilterFunction parameters</t>
  </si>
  <si>
    <t>bagId, slotIndex</t>
  </si>
  <si>
    <t>slotData (with bagId and slotIndex in the slotData)</t>
  </si>
  <si>
    <t>slotData (with bagId and slotIndex in the slotData, but slotIndex is actually the item's itemId!!!)</t>
  </si>
  <si>
    <t>unknown - new item will be created here so possibly slotData?</t>
  </si>
  <si>
    <t>unknown, probably slotData (with searchr esults list item's index)</t>
  </si>
  <si>
    <t>slotData (with bagId = BAG_BACKPACK and slotIndex in the slotData)</t>
  </si>
  <si>
    <t>slotData (with sold item's list index in the slotData)</t>
  </si>
  <si>
    <t>slotData (with buyback item's list index in the slotData)</t>
  </si>
  <si>
    <r>
      <rPr>
        <b/>
        <sz val="11"/>
        <rFont val="Calibri"/>
        <family val="2"/>
        <scheme val="minor"/>
      </rPr>
      <t>Implementation:</t>
    </r>
    <r>
      <rPr>
        <b/>
        <sz val="11"/>
        <color rgb="FF00B0F0"/>
        <rFont val="Calibri"/>
        <family val="2"/>
        <scheme val="minor"/>
      </rPr>
      <t xml:space="preserve">
</t>
    </r>
    <r>
      <rPr>
        <b/>
        <sz val="11"/>
        <rFont val="Calibri"/>
        <family val="2"/>
        <scheme val="minor"/>
      </rPr>
      <t xml:space="preserve">Both/
</t>
    </r>
    <r>
      <rPr>
        <b/>
        <sz val="11"/>
        <color rgb="FF00B0F0"/>
        <rFont val="Calibri"/>
        <family val="2"/>
        <scheme val="minor"/>
      </rPr>
      <t>K</t>
    </r>
    <r>
      <rPr>
        <b/>
        <sz val="11"/>
        <color theme="1"/>
        <rFont val="Calibri"/>
        <family val="2"/>
        <scheme val="minor"/>
      </rPr>
      <t xml:space="preserve">eyboard/
</t>
    </r>
    <r>
      <rPr>
        <b/>
        <sz val="11"/>
        <color theme="5" tint="-0.249977111117893"/>
        <rFont val="Calibri"/>
        <family val="2"/>
        <scheme val="minor"/>
      </rPr>
      <t>G</t>
    </r>
    <r>
      <rPr>
        <b/>
        <sz val="11"/>
        <color theme="1"/>
        <rFont val="Calibri"/>
        <family val="2"/>
        <scheme val="minor"/>
      </rPr>
      <t>amepad</t>
    </r>
  </si>
  <si>
    <t>LibFilters helper.lua:
Vanilla filename of overwritten function</t>
  </si>
  <si>
    <t>\esoui\ingame\crafting\sharedalchemy.lua</t>
  </si>
  <si>
    <t>ZO_Alchemy_DoesAlchemyItemPassFilter</t>
  </si>
  <si>
    <t>function itsself</t>
  </si>
  <si>
    <t>ZO_Enchanting_DoesEnchantingItemPassFilter</t>
  </si>
  <si>
    <t>\esoui\ingame\crafting\sharedenchanting.lua</t>
  </si>
  <si>
    <t>Fallback to gamepad implementation (means: Uses same objects for .additionalFilter function)</t>
  </si>
  <si>
    <t>\esoui\ingame\crafting\smithingresearch_shared.lua</t>
  </si>
  <si>
    <t>SMITHING_GAMEPAD.researchPanel</t>
  </si>
  <si>
    <t>Refresh (add LibFilters3_HorizontalScrollbarFilters), and inside local function DoesNotBlockResearch (check .additionalFilter)</t>
  </si>
  <si>
    <t>ZO_SharedSmithingResearch</t>
  </si>
  <si>
    <t>IsResearchableItem</t>
  </si>
  <si>
    <t>\esoui\ingame\retrait\zo_retraitstation_retrait_base.lua</t>
  </si>
  <si>
    <t>ZO_RetraitStation_DoesItemPassFilter</t>
  </si>
  <si>
    <t>\esoui\ingame\crafting\smithingextraction_shared.lua</t>
  </si>
  <si>
    <t>ZO_SharedSmithingExtraction_DoesItemPassFilter</t>
  </si>
  <si>
    <t>\esoui\ingame\crafting\smithingimprovement_shared.lua</t>
  </si>
  <si>
    <t>ZO_SharedSmithingImprovement_DoesItemPassFilter</t>
  </si>
  <si>
    <r>
      <t xml:space="preserve">UniversalDeconstruction
tabName </t>
    </r>
    <r>
      <rPr>
        <b/>
        <sz val="9"/>
        <color theme="6" tint="-0.249977111117893"/>
        <rFont val="Calibri"/>
        <family val="2"/>
        <scheme val="minor"/>
      </rPr>
      <t>(UniversalDecon uses LF_SMITHING_DECONSTRUCT, LF_ENCHANTING_EXTRACTION and LF_JEWELRY_DECONSTRUCT but adds the current UniversalDecon. Tab)</t>
    </r>
  </si>
  <si>
    <t>nil</t>
  </si>
  <si>
    <t>"all", "armor", "weapons"</t>
  </si>
  <si>
    <t>"jewelry"</t>
  </si>
  <si>
    <t>"enchantments"</t>
  </si>
  <si>
    <t>\esoui\ingame\crafting\universaldeconstructionpanel_shared.lua</t>
  </si>
  <si>
    <t>ZO_UniversalDeconstructionPanel_Shared</t>
  </si>
  <si>
    <t>DoesItemPassFilter</t>
  </si>
  <si>
    <t>Universal Deconstruction Smithing</t>
  </si>
  <si>
    <t>Universal Deconstruction Jewelry</t>
  </si>
  <si>
    <t>Universal Deconstruction Enchanting</t>
  </si>
  <si>
    <t>\esoui\ingame\storewindow\gamepad\storewindow_gamepad_util.lua</t>
  </si>
  <si>
    <t>updateFunc</t>
  </si>
  <si>
    <r>
      <t>STORE_WINDOW_GAMEPAD.components[</t>
    </r>
    <r>
      <rPr>
        <sz val="10"/>
        <color theme="5" tint="-0.249977111117893"/>
        <rFont val="Consolas"/>
        <family val="3"/>
      </rPr>
      <t>ZO_MODE_STORE_SELL</t>
    </r>
    <r>
      <rPr>
        <sz val="10"/>
        <rFont val="Consolas"/>
        <family val="3"/>
      </rPr>
      <t>].list</t>
    </r>
  </si>
  <si>
    <r>
      <t>STORE_WINDOW_GAMEPAD.components[</t>
    </r>
    <r>
      <rPr>
        <sz val="10"/>
        <color theme="5" tint="-0.249977111117893"/>
        <rFont val="Consolas"/>
        <family val="3"/>
      </rPr>
      <t>ZO_MODE_STORE_BUY_BACK</t>
    </r>
    <r>
      <rPr>
        <sz val="10"/>
        <rFont val="Consolas"/>
        <family val="3"/>
      </rPr>
      <t>].list</t>
    </r>
  </si>
  <si>
    <r>
      <t>STORE_WINDOW_GAMEPAD.components[</t>
    </r>
    <r>
      <rPr>
        <sz val="10"/>
        <color theme="5" tint="-0.249977111117893"/>
        <rFont val="Consolas"/>
        <family val="3"/>
      </rPr>
      <t>ZO_MODE_STORE_BUY</t>
    </r>
    <r>
      <rPr>
        <sz val="10"/>
        <rFont val="Consolas"/>
        <family val="3"/>
      </rPr>
      <t>].list</t>
    </r>
  </si>
  <si>
    <r>
      <t>STORE_WINDOW_GAMEPAD.components[</t>
    </r>
    <r>
      <rPr>
        <sz val="10"/>
        <color theme="5" tint="-0.249977111117893"/>
        <rFont val="Consolas"/>
        <family val="3"/>
      </rPr>
      <t>ZO_MODE_STORE_REPAIR</t>
    </r>
    <r>
      <rPr>
        <sz val="10"/>
        <rFont val="Consolas"/>
        <family val="3"/>
      </rPr>
      <t>].list</t>
    </r>
  </si>
  <si>
    <r>
      <t>STORE_WINDOW_GAMEPAD.components[</t>
    </r>
    <r>
      <rPr>
        <sz val="10"/>
        <color theme="5" tint="-0.249977111117893"/>
        <rFont val="Consolas"/>
        <family val="3"/>
      </rPr>
      <t>ZO_MODE_STORE_SELL_STOLEN</t>
    </r>
    <r>
      <rPr>
        <sz val="10"/>
        <rFont val="Consolas"/>
        <family val="3"/>
      </rPr>
      <t>].list</t>
    </r>
  </si>
  <si>
    <r>
      <t>STORE_WINDOW_GAMEPAD.components[</t>
    </r>
    <r>
      <rPr>
        <sz val="10"/>
        <color theme="5" tint="-0.249977111117893"/>
        <rFont val="Consolas"/>
        <family val="3"/>
      </rPr>
      <t>ZO_MODE_STORE_LAUNDER</t>
    </r>
    <r>
      <rPr>
        <sz val="10"/>
        <rFont val="Consolas"/>
        <family val="3"/>
      </rPr>
      <t>].list</t>
    </r>
  </si>
  <si>
    <t>\esoui_src\live\esoui\ingame\companion\gamepad\companionequipment_gamepad.lua</t>
  </si>
  <si>
    <t>GetItemDataFilterComparator</t>
  </si>
  <si>
    <t>\esoui\ingame\inventory\gamepad\gamepadinventory.lua</t>
  </si>
  <si>
    <t>GAMEPAD_INVENTORY</t>
  </si>
  <si>
    <t>GetQuestItemDataFilterComparator</t>
  </si>
  <si>
    <t>\esoui\ingame\inventory\gamepad\inventorylist_gamepad.lua</t>
  </si>
  <si>
    <t>ZO_GamepadInventoryList</t>
  </si>
  <si>
    <t>AddSlotDataToTable</t>
  </si>
  <si>
    <t>\esoui\ingame\storewindow\keyboard\storewindow_keyboard.lua</t>
  </si>
  <si>
    <t>ShouldAddItemToList</t>
  </si>
  <si>
    <t>\esoui\ingame\storewindow\keyboard\buyback_keyboard.lua</t>
  </si>
  <si>
    <t>UpdateList</t>
  </si>
  <si>
    <t>Already uses vanilla .additionalFilter function?</t>
  </si>
  <si>
    <t>See tab "LibFilters3 .additionalFilter", columns E (LibFilters helper.lua: Vanilla filename of overwritten function) to G (LibFilters helper.lua: Object/Class/... of overwritten function) for the helper.lua details about the hooked/overwritten object and functions</t>
  </si>
  <si>
    <t>\esoui\ingame\repair\repairwindow.lua</t>
  </si>
  <si>
    <t>\esoui\ingame\quickslot\keyboard\quickslot_keyboard.lua</t>
  </si>
  <si>
    <t>LibFilters helper.lua:
Overwritten function(s)</t>
  </si>
  <si>
    <t>ShouldAddItemToList
ShouldAddQuestItemToList
AppendCollectiblesData</t>
  </si>
  <si>
    <t>QUICKSLOT_KEYBOARD
QUICKSLOT_KEYBOARD
QUICKSLOT_KEYBOARD</t>
  </si>
  <si>
    <t>Currently not implemented or not sure if working, as gamepad inventory quickslot is different.</t>
  </si>
  <si>
    <r>
      <t>STORE_WINDOW_GAMEPAD.components[</t>
    </r>
    <r>
      <rPr>
        <sz val="10"/>
        <color theme="5" tint="-0.249977111117893"/>
        <rFont val="Consolas"/>
        <family val="3"/>
      </rPr>
      <t>ZO_MODE_STORE_SELL_VENGEANCE</t>
    </r>
    <r>
      <rPr>
        <sz val="10"/>
        <rFont val="Consolas"/>
        <family val="3"/>
      </rPr>
      <t>].list</t>
    </r>
  </si>
  <si>
    <t>[+] None, uses vanilla Zos
ZO_InventoryManager:ShouldAddSlotToList -&gt; DoesSlotPassAdditionalFilter</t>
  </si>
  <si>
    <t>.additionalFilter object type
(Object/Fragment/…)</t>
  </si>
  <si>
    <r>
      <t xml:space="preserve">LibFilters Callback internally:
"On SHOW" name
</t>
    </r>
    <r>
      <rPr>
        <b/>
        <sz val="9"/>
        <color theme="1"/>
        <rFont val="Calibri"/>
        <family val="2"/>
        <scheme val="minor"/>
      </rPr>
      <t>Create via LibFilters3:CreateCallbackName(filterType, isShown, universalDeconSelectedTabNow)</t>
    </r>
  </si>
  <si>
    <r>
      <t xml:space="preserve">LibFilters Callback internally:
"On HIDE" name
</t>
    </r>
    <r>
      <rPr>
        <b/>
        <sz val="9"/>
        <color theme="1"/>
        <rFont val="Calibri"/>
        <family val="2"/>
        <scheme val="minor"/>
      </rPr>
      <t>Create via LibFilters3:CreateCallbackName(filterType, isShown, universalDeconSelectedTabNow)</t>
    </r>
  </si>
  <si>
    <t>???</t>
  </si>
  <si>
    <t>LibFilters helper.lua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</si>
</sst>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b/>
      <sz val="11"/>
      <color theme="1"/>
      <name val="Calibri"/>
      <family val="2"/>
      <scheme val="minor"/>
    </font>
    <font>
      <b/>
      <sz val="11"/>
      <color rgb="FF00B0F0"/>
      <name val="Calibri"/>
      <family val="2"/>
      <scheme val="minor"/>
    </font>
    <font>
      <b/>
      <sz val="11"/>
      <name val="Calibri"/>
      <family val="2"/>
      <scheme val="minor"/>
    </font>
    <font>
      <b/>
      <sz val="11"/>
      <color theme="5" tint="-0.249977111117893"/>
      <name val="Calibri"/>
      <family val="2"/>
      <scheme val="minor"/>
    </font>
    <font>
      <sz val="10"/>
      <color rgb="FF080808"/>
      <name val="Consolas"/>
      <family val="3"/>
    </font>
    <font>
      <sz val="10"/>
      <color rgb="FF067D17"/>
      <name val="Consolas"/>
      <family val="3"/>
    </font>
    <font>
      <b/>
      <strike/>
      <sz val="11"/>
      <color rgb="FFFF0000"/>
      <name val="Calibri"/>
      <family val="2"/>
      <scheme val="minor"/>
    </font>
    <font>
      <sz val="11"/>
      <color rgb="FF00B0F0"/>
      <name val="Calibri"/>
      <family val="2"/>
      <scheme val="minor"/>
    </font>
    <font>
      <sz val="11"/>
      <color theme="5" tint="-0.249977111117893"/>
      <name val="Calibri"/>
      <family val="2"/>
      <scheme val="minor"/>
    </font>
    <font>
      <i/>
      <sz val="10"/>
      <color rgb="FF646262"/>
      <name val="Consolas"/>
      <family val="3"/>
    </font>
    <font>
      <sz val="10"/>
      <color rgb="FFCC542E"/>
      <name val="Consolas"/>
      <family val="3"/>
    </font>
    <font>
      <sz val="10"/>
      <color rgb="FF343434"/>
      <name val="Consolas"/>
      <family val="3"/>
    </font>
    <font>
      <sz val="11"/>
      <name val="Calibri"/>
      <family val="2"/>
      <scheme val="minor"/>
    </font>
    <font>
      <sz val="11"/>
      <color theme="4" tint="-0.249977111117893"/>
      <name val="Calibri"/>
      <family val="2"/>
      <scheme val="minor"/>
    </font>
    <font>
      <sz val="11"/>
      <color rgb="FF000000"/>
      <name val="Calibri"/>
      <family val="2"/>
      <scheme val="minor"/>
    </font>
    <font>
      <sz val="10"/>
      <color theme="9" tint="-0.249977111117893"/>
      <name val="Consolas"/>
      <family val="3"/>
    </font>
    <font>
      <sz val="11"/>
      <color theme="9" tint="-0.249977111117893"/>
      <name val="Calibri"/>
      <family val="2"/>
      <scheme val="minor"/>
    </font>
    <font>
      <sz val="11"/>
      <color rgb="FF0070C0"/>
      <name val="Calibri"/>
      <family val="2"/>
      <scheme val="minor"/>
    </font>
    <font>
      <sz val="10"/>
      <color theme="5" tint="-0.249977111117893"/>
      <name val="Consolas"/>
      <family val="3"/>
    </font>
    <font>
      <sz val="10"/>
      <name val="Consolas"/>
      <family val="3"/>
    </font>
    <font>
      <b/>
      <sz val="9"/>
      <color theme="1"/>
      <name val="Calibri"/>
      <family val="2"/>
      <scheme val="minor"/>
    </font>
    <font>
      <b/>
      <sz val="9"/>
      <color theme="6" tint="-0.249977111117893"/>
      <name val="Calibri"/>
      <family val="2"/>
      <scheme val="minor"/>
    </font>
  </fonts>
  <fills count="8">
    <fill>
      <patternFill patternType="none"/>
    </fill>
    <fill>
      <patternFill patternType="gray125"/>
    </fill>
    <fill>
      <patternFill patternType="solid">
        <fgColor rgb="FFFFC7CE"/>
      </patternFill>
    </fill>
    <fill>
      <patternFill patternType="solid">
        <fgColor rgb="FFFFEB9C"/>
      </patternFill>
    </fill>
    <fill>
      <patternFill patternType="solid">
        <fgColor rgb="FFF2F2F2"/>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2" applyNumberFormat="0" applyAlignment="0" applyProtection="0"/>
    <xf numFmtId="0" fontId="4" fillId="4" borderId="1" applyNumberFormat="0" applyAlignment="0" applyProtection="0"/>
  </cellStyleXfs>
  <cellXfs count="52">
    <xf numFmtId="0" fontId="0" fillId="0" borderId="0" xfId="0"/>
    <xf numFmtId="0" fontId="6" fillId="0" borderId="0" xfId="0" applyFont="1"/>
    <xf numFmtId="0" fontId="6" fillId="0" borderId="0" xfId="0" applyFont="1" applyAlignment="1">
      <alignment wrapText="1"/>
    </xf>
    <xf numFmtId="0" fontId="0" fillId="0" borderId="0" xfId="0" applyAlignment="1">
      <alignment wrapText="1"/>
    </xf>
    <xf numFmtId="0" fontId="4" fillId="4" borderId="1" xfId="4"/>
    <xf numFmtId="0" fontId="3" fillId="4" borderId="2" xfId="3"/>
    <xf numFmtId="0" fontId="12" fillId="4" borderId="1" xfId="4" applyFont="1"/>
    <xf numFmtId="0" fontId="0" fillId="0" borderId="0" xfId="0" applyFont="1"/>
    <xf numFmtId="0" fontId="8" fillId="0" borderId="0" xfId="0" applyFont="1"/>
    <xf numFmtId="0" fontId="6" fillId="5" borderId="0" xfId="0" applyFont="1" applyFill="1" applyAlignment="1">
      <alignment wrapText="1"/>
    </xf>
    <xf numFmtId="0" fontId="0" fillId="5" borderId="0" xfId="0" applyFill="1"/>
    <xf numFmtId="0" fontId="19" fillId="0" borderId="0" xfId="0" applyFont="1" applyAlignment="1">
      <alignment horizontal="left" vertical="top" wrapText="1"/>
    </xf>
    <xf numFmtId="0" fontId="19"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wrapText="1"/>
    </xf>
    <xf numFmtId="0" fontId="4" fillId="4" borderId="1" xfId="4" applyAlignment="1">
      <alignment horizontal="left" vertical="top"/>
    </xf>
    <xf numFmtId="0" fontId="14" fillId="0" borderId="0" xfId="0" applyFont="1" applyAlignment="1">
      <alignment horizontal="left" vertical="top"/>
    </xf>
    <xf numFmtId="0" fontId="0" fillId="5" borderId="0" xfId="0" applyFill="1" applyAlignment="1">
      <alignment horizontal="left" vertical="top"/>
    </xf>
    <xf numFmtId="0" fontId="13" fillId="0" borderId="0" xfId="0" applyFont="1" applyAlignment="1">
      <alignment horizontal="left" vertical="top"/>
    </xf>
    <xf numFmtId="0" fontId="12" fillId="4" borderId="1" xfId="4" applyFont="1" applyAlignment="1">
      <alignment horizontal="left" vertical="top"/>
    </xf>
    <xf numFmtId="0" fontId="18" fillId="0" borderId="0" xfId="0" applyFont="1" applyAlignment="1">
      <alignment horizontal="left" vertical="top"/>
    </xf>
    <xf numFmtId="0" fontId="8" fillId="6" borderId="0" xfId="0" applyFont="1" applyFill="1" applyAlignment="1">
      <alignment wrapText="1"/>
    </xf>
    <xf numFmtId="0" fontId="6" fillId="6" borderId="0" xfId="0" applyFont="1" applyFill="1" applyAlignment="1">
      <alignment wrapText="1"/>
    </xf>
    <xf numFmtId="0" fontId="8" fillId="6" borderId="0" xfId="0" applyFont="1" applyFill="1" applyAlignment="1">
      <alignment horizontal="left" vertical="top"/>
    </xf>
    <xf numFmtId="0" fontId="0" fillId="6" borderId="0" xfId="0" applyFill="1" applyAlignment="1">
      <alignment horizontal="left" vertical="top"/>
    </xf>
    <xf numFmtId="0" fontId="0" fillId="6" borderId="0" xfId="0" applyFont="1" applyFill="1" applyAlignment="1">
      <alignment horizontal="left" vertical="top"/>
    </xf>
    <xf numFmtId="0" fontId="20" fillId="6" borderId="0" xfId="0" applyFont="1" applyFill="1" applyAlignment="1">
      <alignment horizontal="left" vertical="top"/>
    </xf>
    <xf numFmtId="0" fontId="8" fillId="7" borderId="0" xfId="0" applyFont="1" applyFill="1" applyAlignment="1">
      <alignment wrapText="1"/>
    </xf>
    <xf numFmtId="0" fontId="6" fillId="7" borderId="0" xfId="0" applyFont="1" applyFill="1" applyAlignment="1">
      <alignment wrapText="1"/>
    </xf>
    <xf numFmtId="0" fontId="25" fillId="7" borderId="0" xfId="0" applyFont="1" applyFill="1" applyAlignment="1">
      <alignment horizontal="left" vertical="top" wrapText="1"/>
    </xf>
    <xf numFmtId="0" fontId="0" fillId="7" borderId="0" xfId="0" applyFill="1" applyAlignment="1">
      <alignment horizontal="left" vertical="top"/>
    </xf>
    <xf numFmtId="0" fontId="25" fillId="7" borderId="0" xfId="0" applyFont="1" applyFill="1" applyAlignment="1">
      <alignment vertical="center" wrapText="1"/>
    </xf>
    <xf numFmtId="0" fontId="8" fillId="7" borderId="0" xfId="0" applyFont="1" applyFill="1" applyAlignment="1">
      <alignment horizontal="left" vertical="top" wrapText="1"/>
    </xf>
    <xf numFmtId="0" fontId="22" fillId="7" borderId="0" xfId="0" applyFont="1" applyFill="1" applyAlignment="1">
      <alignment horizontal="left" vertical="top" wrapText="1"/>
    </xf>
    <xf numFmtId="0" fontId="0" fillId="7" borderId="0" xfId="0" applyFill="1" applyAlignment="1">
      <alignment horizontal="left" vertical="top" wrapText="1"/>
    </xf>
    <xf numFmtId="0" fontId="5" fillId="7" borderId="0" xfId="0" applyFont="1" applyFill="1" applyAlignment="1">
      <alignment horizontal="left" vertical="top" wrapText="1"/>
    </xf>
    <xf numFmtId="0" fontId="18" fillId="7" borderId="0" xfId="0" applyFont="1" applyFill="1" applyAlignment="1">
      <alignment horizontal="left" vertical="top"/>
    </xf>
    <xf numFmtId="0" fontId="25" fillId="7" borderId="0" xfId="0" applyFont="1" applyFill="1" applyAlignment="1">
      <alignment vertical="center"/>
    </xf>
    <xf numFmtId="0" fontId="15" fillId="6" borderId="0" xfId="0" applyFont="1" applyFill="1" applyAlignment="1">
      <alignment horizontal="left" vertical="top" wrapText="1"/>
    </xf>
    <xf numFmtId="0" fontId="11" fillId="6" borderId="0" xfId="0" applyFont="1" applyFill="1" applyAlignment="1">
      <alignment horizontal="left" vertical="top" wrapText="1"/>
    </xf>
    <xf numFmtId="0" fontId="21" fillId="6" borderId="0" xfId="0" applyFont="1" applyFill="1" applyAlignment="1">
      <alignment horizontal="left" vertical="top" wrapText="1"/>
    </xf>
    <xf numFmtId="0" fontId="23" fillId="6" borderId="0" xfId="0" applyFont="1" applyFill="1" applyAlignment="1">
      <alignment horizontal="left" vertical="top" wrapText="1"/>
    </xf>
    <xf numFmtId="0" fontId="16" fillId="6" borderId="0" xfId="0" applyFont="1" applyFill="1" applyAlignment="1">
      <alignment horizontal="left" vertical="top" wrapText="1"/>
    </xf>
    <xf numFmtId="0" fontId="0" fillId="6" borderId="0" xfId="0" applyFill="1" applyAlignment="1">
      <alignment horizontal="left" vertical="top" wrapText="1"/>
    </xf>
    <xf numFmtId="0" fontId="17" fillId="6" borderId="0" xfId="0" applyFont="1" applyFill="1" applyAlignment="1">
      <alignment horizontal="left" vertical="top" wrapText="1"/>
    </xf>
    <xf numFmtId="0" fontId="10" fillId="6" borderId="0" xfId="0" applyFont="1" applyFill="1" applyAlignment="1">
      <alignment horizontal="left" vertical="top" wrapText="1"/>
    </xf>
    <xf numFmtId="0" fontId="14" fillId="6" borderId="0" xfId="0" applyFont="1" applyFill="1" applyAlignment="1">
      <alignment horizontal="left" vertical="top" wrapText="1"/>
    </xf>
    <xf numFmtId="0" fontId="6" fillId="0" borderId="0" xfId="0" applyFont="1" applyAlignment="1">
      <alignment horizontal="left" wrapText="1"/>
    </xf>
    <xf numFmtId="0" fontId="2" fillId="3" borderId="0" xfId="2" applyAlignment="1">
      <alignment wrapText="1"/>
    </xf>
    <xf numFmtId="0" fontId="1" fillId="2" borderId="0" xfId="1" applyAlignment="1">
      <alignment wrapText="1"/>
    </xf>
    <xf numFmtId="0" fontId="20" fillId="0" borderId="0" xfId="0" applyFont="1" applyAlignment="1">
      <alignment horizontal="left" vertical="top" wrapText="1"/>
    </xf>
  </cellXfs>
  <cellStyles count="5">
    <cellStyle name="Ausgabe" xfId="3" builtinId="21"/>
    <cellStyle name="Berechnung" xfId="4" builtinId="22"/>
    <cellStyle name="Neutral" xfId="2" builtinId="28"/>
    <cellStyle name="Schlecht" xfId="1" builtinId="27"/>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AE86-36B7-4DAF-B156-A056B6A43C96}">
  <sheetPr>
    <tabColor theme="5" tint="0.79998168889431442"/>
  </sheetPr>
  <dimension ref="A1:K61"/>
  <sheetViews>
    <sheetView workbookViewId="0">
      <pane xSplit="2" ySplit="2" topLeftCell="C3" activePane="bottomRight" state="frozen"/>
      <selection pane="topRight" activeCell="C1" sqref="C1"/>
      <selection pane="bottomLeft" activeCell="A2" sqref="A2"/>
      <selection pane="bottomRight" activeCell="E2" sqref="E2"/>
    </sheetView>
  </sheetViews>
  <sheetFormatPr baseColWidth="10" defaultRowHeight="15" x14ac:dyDescent="0.25"/>
  <cols>
    <col min="1" max="1" width="32.28515625" bestFit="1" customWidth="1"/>
    <col min="3" max="3" width="36.7109375" customWidth="1"/>
    <col min="4" max="4" width="96.5703125" customWidth="1"/>
    <col min="5" max="5" width="56.7109375" customWidth="1"/>
  </cols>
  <sheetData>
    <row r="1" spans="1:11" x14ac:dyDescent="0.25">
      <c r="A1" s="12" t="s">
        <v>136</v>
      </c>
      <c r="B1" s="12"/>
      <c r="C1" s="12"/>
      <c r="D1" s="12"/>
      <c r="E1" s="12"/>
      <c r="F1" s="12"/>
      <c r="G1" s="12"/>
      <c r="H1" s="12"/>
      <c r="I1" s="12"/>
      <c r="J1" s="12"/>
      <c r="K1" s="12"/>
    </row>
    <row r="2" spans="1:11" x14ac:dyDescent="0.25">
      <c r="A2" s="1" t="s">
        <v>64</v>
      </c>
      <c r="B2" s="1" t="s">
        <v>65</v>
      </c>
      <c r="C2" s="1" t="s">
        <v>66</v>
      </c>
      <c r="D2" s="2" t="s">
        <v>128</v>
      </c>
      <c r="E2" s="1" t="s">
        <v>177</v>
      </c>
    </row>
    <row r="3" spans="1:11" x14ac:dyDescent="0.25">
      <c r="A3" s="4" t="s">
        <v>25</v>
      </c>
      <c r="B3" s="5">
        <v>19</v>
      </c>
      <c r="C3" t="s">
        <v>30</v>
      </c>
      <c r="D3" s="3"/>
      <c r="E3" s="3" t="s">
        <v>178</v>
      </c>
    </row>
    <row r="4" spans="1:11" x14ac:dyDescent="0.25">
      <c r="A4" s="4" t="s">
        <v>41</v>
      </c>
      <c r="B4" s="5">
        <v>3</v>
      </c>
      <c r="C4" t="s">
        <v>84</v>
      </c>
      <c r="D4" s="3"/>
      <c r="E4" s="3" t="s">
        <v>179</v>
      </c>
    </row>
    <row r="5" spans="1:11" x14ac:dyDescent="0.25">
      <c r="A5" s="4" t="s">
        <v>40</v>
      </c>
      <c r="B5" s="5">
        <v>2</v>
      </c>
      <c r="C5" t="s">
        <v>83</v>
      </c>
      <c r="D5" s="3"/>
      <c r="E5" s="3" t="s">
        <v>179</v>
      </c>
    </row>
    <row r="6" spans="1:11" ht="30" x14ac:dyDescent="0.25">
      <c r="A6" s="4" t="s">
        <v>54</v>
      </c>
      <c r="B6" s="5">
        <v>26</v>
      </c>
      <c r="C6" t="s">
        <v>69</v>
      </c>
      <c r="D6" s="3"/>
      <c r="E6" s="3" t="s">
        <v>180</v>
      </c>
    </row>
    <row r="7" spans="1:11" x14ac:dyDescent="0.25">
      <c r="A7" s="4" t="s">
        <v>34</v>
      </c>
      <c r="B7" s="5">
        <v>20</v>
      </c>
      <c r="C7" t="s">
        <v>37</v>
      </c>
      <c r="D7" s="3"/>
      <c r="E7" s="3" t="s">
        <v>178</v>
      </c>
    </row>
    <row r="8" spans="1:11" ht="45" x14ac:dyDescent="0.25">
      <c r="A8" s="4" t="s">
        <v>35</v>
      </c>
      <c r="B8" s="5">
        <v>21</v>
      </c>
      <c r="C8" t="s">
        <v>36</v>
      </c>
      <c r="D8" s="3" t="s">
        <v>33</v>
      </c>
      <c r="E8" s="3" t="s">
        <v>178</v>
      </c>
    </row>
    <row r="9" spans="1:11" x14ac:dyDescent="0.25">
      <c r="A9" s="4" t="s">
        <v>53</v>
      </c>
      <c r="B9" s="5">
        <v>25</v>
      </c>
      <c r="C9" t="s">
        <v>68</v>
      </c>
      <c r="D9" s="3"/>
      <c r="E9" s="3" t="s">
        <v>179</v>
      </c>
    </row>
    <row r="10" spans="1:11" x14ac:dyDescent="0.25">
      <c r="A10" s="4" t="s">
        <v>52</v>
      </c>
      <c r="B10" s="5">
        <v>24</v>
      </c>
      <c r="C10" t="s">
        <v>67</v>
      </c>
      <c r="D10" s="3"/>
      <c r="E10" s="3" t="s">
        <v>179</v>
      </c>
    </row>
    <row r="11" spans="1:11" x14ac:dyDescent="0.25">
      <c r="A11" s="4" t="s">
        <v>61</v>
      </c>
      <c r="B11" s="5">
        <v>41</v>
      </c>
      <c r="C11" t="s">
        <v>131</v>
      </c>
      <c r="D11" s="3"/>
      <c r="E11" s="3" t="s">
        <v>179</v>
      </c>
    </row>
    <row r="12" spans="1:11" x14ac:dyDescent="0.25">
      <c r="A12" s="4" t="s">
        <v>60</v>
      </c>
      <c r="B12" s="5">
        <v>40</v>
      </c>
      <c r="C12" t="s">
        <v>130</v>
      </c>
      <c r="D12" s="3"/>
      <c r="E12" s="3" t="s">
        <v>179</v>
      </c>
    </row>
    <row r="13" spans="1:11" x14ac:dyDescent="0.25">
      <c r="A13" s="4" t="s">
        <v>43</v>
      </c>
      <c r="B13" s="5">
        <v>5</v>
      </c>
      <c r="C13" t="s">
        <v>81</v>
      </c>
      <c r="D13" s="3"/>
      <c r="E13" s="3" t="s">
        <v>179</v>
      </c>
    </row>
    <row r="14" spans="1:11" x14ac:dyDescent="0.25">
      <c r="A14" s="4" t="s">
        <v>42</v>
      </c>
      <c r="B14" s="5">
        <v>4</v>
      </c>
      <c r="C14" t="s">
        <v>82</v>
      </c>
      <c r="D14" s="3"/>
      <c r="E14" s="3" t="s">
        <v>179</v>
      </c>
    </row>
    <row r="15" spans="1:11" ht="30" x14ac:dyDescent="0.25">
      <c r="A15" s="6" t="s">
        <v>48</v>
      </c>
      <c r="B15" s="5">
        <v>10</v>
      </c>
      <c r="C15" t="s">
        <v>76</v>
      </c>
      <c r="D15" s="15" t="s">
        <v>6</v>
      </c>
      <c r="E15" s="15" t="s">
        <v>182</v>
      </c>
    </row>
    <row r="16" spans="1:11" x14ac:dyDescent="0.25">
      <c r="A16" s="4" t="s">
        <v>49</v>
      </c>
      <c r="B16" s="5">
        <v>11</v>
      </c>
      <c r="C16" t="s">
        <v>75</v>
      </c>
      <c r="D16" s="3"/>
      <c r="E16" s="3" t="s">
        <v>179</v>
      </c>
    </row>
    <row r="17" spans="1:5" x14ac:dyDescent="0.25">
      <c r="A17" s="4" t="s">
        <v>57</v>
      </c>
      <c r="B17" s="5">
        <v>30</v>
      </c>
      <c r="C17" t="s">
        <v>71</v>
      </c>
      <c r="D17" s="3"/>
      <c r="E17" s="3" t="s">
        <v>179</v>
      </c>
    </row>
    <row r="18" spans="1:5" x14ac:dyDescent="0.25">
      <c r="A18" s="4" t="s">
        <v>56</v>
      </c>
      <c r="B18" s="5">
        <v>29</v>
      </c>
      <c r="C18" t="s">
        <v>70</v>
      </c>
      <c r="D18" s="3"/>
      <c r="E18" s="3" t="s">
        <v>179</v>
      </c>
    </row>
    <row r="19" spans="1:5" x14ac:dyDescent="0.25">
      <c r="A19" s="4" t="s">
        <v>38</v>
      </c>
      <c r="B19" s="5">
        <v>1</v>
      </c>
      <c r="C19" t="s">
        <v>39</v>
      </c>
      <c r="D19" s="3"/>
      <c r="E19" s="3" t="s">
        <v>179</v>
      </c>
    </row>
    <row r="20" spans="1:5" x14ac:dyDescent="0.25">
      <c r="A20" s="4" t="s">
        <v>59</v>
      </c>
      <c r="B20" s="5">
        <v>39</v>
      </c>
      <c r="C20" t="s">
        <v>129</v>
      </c>
      <c r="D20" s="3"/>
      <c r="E20" s="3" t="s">
        <v>179</v>
      </c>
    </row>
    <row r="21" spans="1:5" x14ac:dyDescent="0.25">
      <c r="A21" s="4" t="s">
        <v>58</v>
      </c>
      <c r="B21" s="5">
        <v>38</v>
      </c>
      <c r="C21" t="s">
        <v>72</v>
      </c>
      <c r="D21" s="3"/>
      <c r="E21" s="3" t="s">
        <v>179</v>
      </c>
    </row>
    <row r="22" spans="1:5" x14ac:dyDescent="0.25">
      <c r="A22" s="4" t="s">
        <v>62</v>
      </c>
      <c r="B22" s="5">
        <v>42</v>
      </c>
      <c r="C22" t="s">
        <v>132</v>
      </c>
      <c r="D22" s="3"/>
      <c r="E22" s="3" t="s">
        <v>179</v>
      </c>
    </row>
    <row r="23" spans="1:5" ht="30" x14ac:dyDescent="0.25">
      <c r="A23" s="4" t="s">
        <v>14</v>
      </c>
      <c r="B23" s="5">
        <v>32</v>
      </c>
      <c r="C23" t="s">
        <v>20</v>
      </c>
      <c r="D23" s="15" t="s">
        <v>6</v>
      </c>
      <c r="E23" s="15" t="s">
        <v>181</v>
      </c>
    </row>
    <row r="24" spans="1:5" ht="90" x14ac:dyDescent="0.25">
      <c r="A24" s="4" t="s">
        <v>15</v>
      </c>
      <c r="B24" s="5">
        <v>33</v>
      </c>
      <c r="C24" t="s">
        <v>21</v>
      </c>
      <c r="D24" s="3" t="s">
        <v>127</v>
      </c>
      <c r="E24" s="3" t="s">
        <v>178</v>
      </c>
    </row>
    <row r="25" spans="1:5" ht="30" x14ac:dyDescent="0.25">
      <c r="A25" s="4" t="s">
        <v>16</v>
      </c>
      <c r="B25" s="5">
        <v>34</v>
      </c>
      <c r="C25" t="s">
        <v>22</v>
      </c>
      <c r="D25" s="3" t="s">
        <v>121</v>
      </c>
      <c r="E25" s="3" t="s">
        <v>178</v>
      </c>
    </row>
    <row r="26" spans="1:5" ht="30" x14ac:dyDescent="0.25">
      <c r="A26" s="4" t="s">
        <v>13</v>
      </c>
      <c r="B26" s="5">
        <v>31</v>
      </c>
      <c r="C26" t="s">
        <v>19</v>
      </c>
      <c r="D26" s="3" t="s">
        <v>121</v>
      </c>
      <c r="E26" s="3" t="s">
        <v>178</v>
      </c>
    </row>
    <row r="27" spans="1:5" ht="30" x14ac:dyDescent="0.25">
      <c r="A27" s="4" t="s">
        <v>17</v>
      </c>
      <c r="B27" s="5">
        <v>35</v>
      </c>
      <c r="C27" t="s">
        <v>23</v>
      </c>
      <c r="D27" s="3" t="s">
        <v>121</v>
      </c>
      <c r="E27" s="3" t="s">
        <v>178</v>
      </c>
    </row>
    <row r="28" spans="1:5" ht="30" x14ac:dyDescent="0.25">
      <c r="A28" s="4" t="s">
        <v>18</v>
      </c>
      <c r="B28" s="5">
        <v>37</v>
      </c>
      <c r="C28" t="s">
        <v>24</v>
      </c>
      <c r="D28" s="3" t="s">
        <v>121</v>
      </c>
      <c r="E28" s="3" t="s">
        <v>178</v>
      </c>
    </row>
    <row r="29" spans="1:5" x14ac:dyDescent="0.25">
      <c r="A29" s="4" t="s">
        <v>50</v>
      </c>
      <c r="B29" s="5">
        <v>12</v>
      </c>
      <c r="C29" t="s">
        <v>74</v>
      </c>
      <c r="D29" s="3"/>
      <c r="E29" s="3" t="s">
        <v>179</v>
      </c>
    </row>
    <row r="30" spans="1:5" ht="30" x14ac:dyDescent="0.25">
      <c r="A30" s="6" t="s">
        <v>27</v>
      </c>
      <c r="B30" s="5">
        <v>23</v>
      </c>
      <c r="C30" t="s">
        <v>28</v>
      </c>
      <c r="D30" s="15" t="s">
        <v>6</v>
      </c>
      <c r="E30" s="15" t="s">
        <v>181</v>
      </c>
    </row>
    <row r="31" spans="1:5" ht="30" x14ac:dyDescent="0.25">
      <c r="A31" s="6" t="s">
        <v>26</v>
      </c>
      <c r="B31" s="5">
        <v>22</v>
      </c>
      <c r="C31" t="s">
        <v>29</v>
      </c>
      <c r="D31" s="15" t="s">
        <v>6</v>
      </c>
      <c r="E31" s="15" t="s">
        <v>181</v>
      </c>
    </row>
    <row r="32" spans="1:5" ht="30" x14ac:dyDescent="0.25">
      <c r="A32" s="4" t="s">
        <v>55</v>
      </c>
      <c r="B32" s="5">
        <v>27</v>
      </c>
      <c r="C32" t="s">
        <v>134</v>
      </c>
      <c r="D32" s="3"/>
      <c r="E32" s="3" t="s">
        <v>183</v>
      </c>
    </row>
    <row r="33" spans="1:5" x14ac:dyDescent="0.25">
      <c r="A33" s="4" t="s">
        <v>31</v>
      </c>
      <c r="B33" s="5">
        <v>28</v>
      </c>
      <c r="C33" t="s">
        <v>32</v>
      </c>
      <c r="D33" s="3"/>
      <c r="E33" s="3" t="s">
        <v>178</v>
      </c>
    </row>
    <row r="34" spans="1:5" ht="30" x14ac:dyDescent="0.25">
      <c r="A34" s="6" t="s">
        <v>5</v>
      </c>
      <c r="B34" s="5">
        <v>15</v>
      </c>
      <c r="C34" t="s">
        <v>4</v>
      </c>
      <c r="D34" s="15" t="s">
        <v>6</v>
      </c>
      <c r="E34" s="15" t="s">
        <v>181</v>
      </c>
    </row>
    <row r="35" spans="1:5" ht="90" x14ac:dyDescent="0.25">
      <c r="A35" s="4" t="s">
        <v>1</v>
      </c>
      <c r="B35" s="5">
        <v>16</v>
      </c>
      <c r="C35" t="s">
        <v>3</v>
      </c>
      <c r="D35" s="3" t="s">
        <v>127</v>
      </c>
      <c r="E35" s="3" t="s">
        <v>178</v>
      </c>
    </row>
    <row r="36" spans="1:5" ht="30" x14ac:dyDescent="0.25">
      <c r="A36" s="4" t="s">
        <v>7</v>
      </c>
      <c r="B36" s="5">
        <v>17</v>
      </c>
      <c r="C36" t="s">
        <v>12</v>
      </c>
      <c r="D36" s="3" t="s">
        <v>121</v>
      </c>
      <c r="E36" s="3" t="s">
        <v>178</v>
      </c>
    </row>
    <row r="37" spans="1:5" ht="30" x14ac:dyDescent="0.25">
      <c r="A37" s="4" t="s">
        <v>0</v>
      </c>
      <c r="B37" s="5">
        <v>14</v>
      </c>
      <c r="C37" t="s">
        <v>2</v>
      </c>
      <c r="D37" s="3" t="s">
        <v>121</v>
      </c>
      <c r="E37" s="3" t="s">
        <v>178</v>
      </c>
    </row>
    <row r="38" spans="1:5" ht="30" x14ac:dyDescent="0.25">
      <c r="A38" s="4" t="s">
        <v>8</v>
      </c>
      <c r="B38" s="5">
        <v>18</v>
      </c>
      <c r="C38" t="s">
        <v>11</v>
      </c>
      <c r="D38" s="3" t="s">
        <v>121</v>
      </c>
      <c r="E38" s="3" t="s">
        <v>178</v>
      </c>
    </row>
    <row r="39" spans="1:5" ht="30" x14ac:dyDescent="0.25">
      <c r="A39" s="4" t="s">
        <v>9</v>
      </c>
      <c r="B39" s="5">
        <v>36</v>
      </c>
      <c r="C39" t="s">
        <v>10</v>
      </c>
      <c r="D39" s="3" t="s">
        <v>121</v>
      </c>
      <c r="E39" s="3" t="s">
        <v>178</v>
      </c>
    </row>
    <row r="40" spans="1:5" x14ac:dyDescent="0.25">
      <c r="A40" s="4" t="s">
        <v>51</v>
      </c>
      <c r="B40" s="5">
        <v>13</v>
      </c>
      <c r="C40" t="s">
        <v>73</v>
      </c>
      <c r="D40" s="3"/>
      <c r="E40" s="3" t="s">
        <v>179</v>
      </c>
    </row>
    <row r="41" spans="1:5" x14ac:dyDescent="0.25">
      <c r="A41" s="4" t="s">
        <v>44</v>
      </c>
      <c r="B41" s="5">
        <v>6</v>
      </c>
      <c r="C41" t="s">
        <v>80</v>
      </c>
      <c r="D41" s="3"/>
      <c r="E41" s="3" t="s">
        <v>184</v>
      </c>
    </row>
    <row r="42" spans="1:5" x14ac:dyDescent="0.25">
      <c r="A42" s="4" t="s">
        <v>46</v>
      </c>
      <c r="B42" s="5">
        <v>8</v>
      </c>
      <c r="C42" t="s">
        <v>78</v>
      </c>
      <c r="D42" s="3"/>
      <c r="E42" s="3" t="s">
        <v>185</v>
      </c>
    </row>
    <row r="43" spans="1:5" x14ac:dyDescent="0.25">
      <c r="A43" s="4" t="s">
        <v>47</v>
      </c>
      <c r="B43" s="5">
        <v>9</v>
      </c>
      <c r="C43" t="s">
        <v>77</v>
      </c>
      <c r="D43" s="3"/>
      <c r="E43" s="3" t="s">
        <v>179</v>
      </c>
    </row>
    <row r="44" spans="1:5" x14ac:dyDescent="0.25">
      <c r="A44" s="4" t="s">
        <v>45</v>
      </c>
      <c r="B44" s="5">
        <v>7</v>
      </c>
      <c r="C44" t="s">
        <v>79</v>
      </c>
      <c r="D44" s="3"/>
      <c r="E44" s="3" t="s">
        <v>179</v>
      </c>
    </row>
    <row r="45" spans="1:5" x14ac:dyDescent="0.25">
      <c r="A45" s="4" t="s">
        <v>63</v>
      </c>
      <c r="B45" s="5">
        <v>43</v>
      </c>
      <c r="C45" t="s">
        <v>133</v>
      </c>
      <c r="D45" s="3"/>
      <c r="E45" s="3"/>
    </row>
    <row r="46" spans="1:5" x14ac:dyDescent="0.25">
      <c r="D46" s="3"/>
      <c r="E46" s="3"/>
    </row>
    <row r="47" spans="1:5" x14ac:dyDescent="0.25">
      <c r="D47" s="3"/>
      <c r="E47" s="3"/>
    </row>
    <row r="48" spans="1:5" x14ac:dyDescent="0.25">
      <c r="D48" s="3"/>
      <c r="E48" s="3"/>
    </row>
    <row r="49" spans="4:5" x14ac:dyDescent="0.25">
      <c r="D49" s="3"/>
      <c r="E49" s="3"/>
    </row>
    <row r="50" spans="4:5" x14ac:dyDescent="0.25">
      <c r="D50" s="3"/>
      <c r="E50" s="3"/>
    </row>
    <row r="51" spans="4:5" x14ac:dyDescent="0.25">
      <c r="D51" s="3"/>
      <c r="E51" s="3"/>
    </row>
    <row r="52" spans="4:5" x14ac:dyDescent="0.25">
      <c r="D52" s="3"/>
      <c r="E52" s="3"/>
    </row>
    <row r="53" spans="4:5" x14ac:dyDescent="0.25">
      <c r="D53" s="3"/>
      <c r="E53" s="3"/>
    </row>
    <row r="54" spans="4:5" x14ac:dyDescent="0.25">
      <c r="D54" s="3"/>
      <c r="E54" s="3"/>
    </row>
    <row r="55" spans="4:5" x14ac:dyDescent="0.25">
      <c r="D55" s="3"/>
      <c r="E55" s="3"/>
    </row>
    <row r="56" spans="4:5" x14ac:dyDescent="0.25">
      <c r="D56" s="3"/>
      <c r="E56" s="3"/>
    </row>
    <row r="57" spans="4:5" x14ac:dyDescent="0.25">
      <c r="D57" s="3"/>
      <c r="E57" s="3"/>
    </row>
    <row r="58" spans="4:5" x14ac:dyDescent="0.25">
      <c r="D58" s="3"/>
      <c r="E58" s="3"/>
    </row>
    <row r="59" spans="4:5" x14ac:dyDescent="0.25">
      <c r="E59" s="3"/>
    </row>
    <row r="60" spans="4:5" x14ac:dyDescent="0.25">
      <c r="E60" s="3"/>
    </row>
    <row r="61" spans="4:5" x14ac:dyDescent="0.25">
      <c r="E61" s="3"/>
    </row>
  </sheetData>
  <autoFilter ref="A2:E2" xr:uid="{805FAE86-36B7-4DAF-B156-A056B6A43C96}">
    <sortState xmlns:xlrd2="http://schemas.microsoft.com/office/spreadsheetml/2017/richdata2" ref="A3:E45">
      <sortCondition ref="A2"/>
    </sortState>
  </autoFilter>
  <mergeCells count="1">
    <mergeCell ref="A1:K1"/>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98"/>
  <sheetViews>
    <sheetView tabSelected="1" workbookViewId="0">
      <pane xSplit="4" ySplit="2" topLeftCell="E3" activePane="bottomRight" state="frozen"/>
      <selection pane="topRight" activeCell="E1" sqref="E1"/>
      <selection pane="bottomLeft" activeCell="A3" sqref="A3"/>
      <selection pane="bottomRight" activeCell="F2" sqref="F2"/>
    </sheetView>
  </sheetViews>
  <sheetFormatPr baseColWidth="10" defaultColWidth="9.140625" defaultRowHeight="15" x14ac:dyDescent="0.25"/>
  <cols>
    <col min="1" max="1" width="31.7109375" customWidth="1"/>
    <col min="2" max="2" width="24.5703125" customWidth="1"/>
    <col min="3" max="3" width="13" customWidth="1"/>
    <col min="4" max="5" width="10.140625" customWidth="1"/>
    <col min="6" max="6" width="40.42578125" style="8" customWidth="1"/>
    <col min="7" max="7" width="34.5703125" customWidth="1"/>
    <col min="8" max="8" width="39.85546875" customWidth="1"/>
    <col min="9" max="9" width="15" customWidth="1"/>
    <col min="10" max="10" width="49.28515625" customWidth="1"/>
    <col min="11" max="11" width="28.28515625" bestFit="1" customWidth="1"/>
    <col min="12" max="13" width="15.42578125" style="7" customWidth="1"/>
    <col min="14" max="14" width="31.5703125" style="10" customWidth="1"/>
    <col min="15" max="16" width="31.42578125" style="10" customWidth="1"/>
    <col min="17" max="17" width="128.85546875" style="3" customWidth="1"/>
  </cols>
  <sheetData>
    <row r="1" spans="1:17" ht="33.75" customHeight="1" x14ac:dyDescent="0.25">
      <c r="A1" s="11" t="s">
        <v>138</v>
      </c>
      <c r="B1" s="11"/>
      <c r="C1" s="12"/>
      <c r="D1" s="12"/>
      <c r="E1" s="12"/>
      <c r="F1" s="12"/>
      <c r="G1" s="12"/>
      <c r="H1" s="12"/>
      <c r="I1" s="12"/>
      <c r="J1" s="12"/>
      <c r="K1" s="12"/>
      <c r="L1" s="12"/>
      <c r="M1" s="12"/>
      <c r="N1" s="12"/>
      <c r="O1" s="12"/>
      <c r="P1" s="12"/>
      <c r="Q1" s="12"/>
    </row>
    <row r="2" spans="1:17" ht="89.25" customHeight="1" x14ac:dyDescent="0.25">
      <c r="A2" s="2" t="s">
        <v>104</v>
      </c>
      <c r="B2" s="2" t="s">
        <v>205</v>
      </c>
      <c r="C2" s="2" t="s">
        <v>105</v>
      </c>
      <c r="D2" s="2" t="s">
        <v>186</v>
      </c>
      <c r="E2" s="28" t="s">
        <v>250</v>
      </c>
      <c r="F2" s="28" t="s">
        <v>187</v>
      </c>
      <c r="G2" s="29" t="s">
        <v>240</v>
      </c>
      <c r="H2" s="29" t="s">
        <v>102</v>
      </c>
      <c r="I2" s="22" t="s">
        <v>236</v>
      </c>
      <c r="J2" s="23" t="s">
        <v>86</v>
      </c>
      <c r="K2" s="23" t="s">
        <v>246</v>
      </c>
      <c r="L2" s="23" t="s">
        <v>101</v>
      </c>
      <c r="M2" s="23" t="s">
        <v>175</v>
      </c>
      <c r="N2" s="9" t="s">
        <v>247</v>
      </c>
      <c r="O2" s="9" t="s">
        <v>248</v>
      </c>
      <c r="P2" s="9" t="s">
        <v>176</v>
      </c>
      <c r="Q2" s="48" t="s">
        <v>103</v>
      </c>
    </row>
    <row r="3" spans="1:17" s="13" customFormat="1" ht="50.1" customHeight="1" x14ac:dyDescent="0.25">
      <c r="A3" s="16" t="s">
        <v>25</v>
      </c>
      <c r="B3" s="16"/>
      <c r="C3" s="14" t="str">
        <f>VLOOKUP(A3,'LibFilters3 filterPanelIds'!$A$3:$C$1000,3,FALSE)</f>
        <v>Alchemy potion or poison creation</v>
      </c>
      <c r="D3" s="17" t="s">
        <v>88</v>
      </c>
      <c r="E3" s="50" t="s">
        <v>89</v>
      </c>
      <c r="F3" s="30" t="s">
        <v>188</v>
      </c>
      <c r="G3" s="30" t="s">
        <v>189</v>
      </c>
      <c r="H3" s="31" t="s">
        <v>190</v>
      </c>
      <c r="I3" s="24"/>
      <c r="J3" s="39" t="s">
        <v>123</v>
      </c>
      <c r="K3" s="25" t="s">
        <v>124</v>
      </c>
      <c r="L3" s="26" t="s">
        <v>89</v>
      </c>
      <c r="M3" s="23" t="s">
        <v>89</v>
      </c>
      <c r="N3" s="18" t="str">
        <f>"LibFilters3"&amp;"-shown-"&amp;VLOOKUP(A3,'LibFilters3 filterPanelIds'!$A$3:$B$999,2) &amp; "-" &amp; IF(AND(B3&lt;&gt;"",B3&lt;&gt;"nil"),B3,"")</f>
        <v>LibFilters3-shown-19-</v>
      </c>
      <c r="O3" s="18" t="str">
        <f>"LibFilters3"&amp;"-hidden-"&amp;VLOOKUP(A3,'LibFilters3 filterPanelIds'!$A$3:$B$999,2) &amp; "-" &amp; IF(AND(B3&lt;&gt;"",B3&lt;&gt;"nil"),B3,"")</f>
        <v>LibFilters3-hidden-19-</v>
      </c>
      <c r="P3" s="9" t="s">
        <v>89</v>
      </c>
      <c r="Q3" s="14" t="s">
        <v>172</v>
      </c>
    </row>
    <row r="4" spans="1:17" s="13" customFormat="1" ht="50.1" customHeight="1" x14ac:dyDescent="0.25">
      <c r="A4" s="16" t="s">
        <v>25</v>
      </c>
      <c r="B4" s="16"/>
      <c r="C4" s="14" t="str">
        <f>VLOOKUP(A4,'LibFilters3 filterPanelIds'!$A$3:$C$1000,3,FALSE)</f>
        <v>Alchemy potion or poison creation</v>
      </c>
      <c r="D4" s="19" t="s">
        <v>87</v>
      </c>
      <c r="E4" s="50" t="s">
        <v>89</v>
      </c>
      <c r="F4" s="30" t="s">
        <v>188</v>
      </c>
      <c r="G4" s="30" t="s">
        <v>189</v>
      </c>
      <c r="H4" s="31" t="s">
        <v>190</v>
      </c>
      <c r="I4" s="24"/>
      <c r="J4" s="39" t="s">
        <v>123</v>
      </c>
      <c r="K4" s="25" t="s">
        <v>124</v>
      </c>
      <c r="L4" s="26" t="s">
        <v>89</v>
      </c>
      <c r="M4" s="23" t="s">
        <v>89</v>
      </c>
      <c r="N4" s="18" t="str">
        <f>"LibFilters3"&amp;"-shown-"&amp;VLOOKUP(A4,'LibFilters3 filterPanelIds'!$A$3:$B$999,2) &amp; "-" &amp; IF(AND(B4&lt;&gt;"",B4&lt;&gt;"nil"),B4,"")</f>
        <v>LibFilters3-shown-19-</v>
      </c>
      <c r="O4" s="18" t="str">
        <f>"LibFilters3"&amp;"-hidden-"&amp;VLOOKUP(A4,'LibFilters3 filterPanelIds'!$A$3:$B$999,2) &amp; "-" &amp; IF(AND(B4&lt;&gt;"",B4&lt;&gt;"nil"),B4,"")</f>
        <v>LibFilters3-hidden-19-</v>
      </c>
      <c r="P4" s="9" t="s">
        <v>89</v>
      </c>
      <c r="Q4" s="14"/>
    </row>
    <row r="5" spans="1:17" s="13" customFormat="1" ht="50.1" customHeight="1" x14ac:dyDescent="0.25">
      <c r="A5" s="16" t="s">
        <v>41</v>
      </c>
      <c r="B5" s="16"/>
      <c r="C5" s="14" t="str">
        <f>VLOOKUP(A5,'LibFilters3 filterPanelIds'!$A$3:$C$1000,3,FALSE)</f>
        <v>Player bank Deposit</v>
      </c>
      <c r="D5" s="17" t="s">
        <v>88</v>
      </c>
      <c r="E5" s="50" t="s">
        <v>89</v>
      </c>
      <c r="F5" s="32" t="s">
        <v>229</v>
      </c>
      <c r="G5" s="32" t="s">
        <v>231</v>
      </c>
      <c r="H5" s="32" t="s">
        <v>230</v>
      </c>
      <c r="I5" s="24"/>
      <c r="J5" s="40" t="s">
        <v>149</v>
      </c>
      <c r="K5" s="25" t="s">
        <v>148</v>
      </c>
      <c r="L5" s="26"/>
      <c r="M5" s="23" t="s">
        <v>89</v>
      </c>
      <c r="N5" s="18" t="str">
        <f>"LibFilters3"&amp;"-shown-"&amp;VLOOKUP(A5,'LibFilters3 filterPanelIds'!$A$3:$B$999,2) &amp; "-" &amp; IF(AND(B5&lt;&gt;"",B5&lt;&gt;"nil"),B5,"")</f>
        <v>LibFilters3-shown-3-</v>
      </c>
      <c r="O5" s="18" t="str">
        <f>"LibFilters3"&amp;"-hidden-"&amp;VLOOKUP(A5,'LibFilters3 filterPanelIds'!$A$3:$B$999,2) &amp; "-" &amp; IF(AND(B5&lt;&gt;"",B5&lt;&gt;"nil"),B5,"")</f>
        <v>LibFilters3-hidden-3-</v>
      </c>
      <c r="P5" s="9" t="s">
        <v>89</v>
      </c>
      <c r="Q5" s="14"/>
    </row>
    <row r="6" spans="1:17" s="13" customFormat="1" ht="50.1" hidden="1" customHeight="1" x14ac:dyDescent="0.25">
      <c r="A6" s="16" t="s">
        <v>41</v>
      </c>
      <c r="B6" s="16"/>
      <c r="C6" s="14" t="str">
        <f>VLOOKUP(A6,'LibFilters3 filterPanelIds'!$A$3:$C$1000,3,FALSE)</f>
        <v>Player bank Deposit</v>
      </c>
      <c r="D6" s="19" t="s">
        <v>87</v>
      </c>
      <c r="E6" s="28"/>
      <c r="F6" s="33"/>
      <c r="G6" s="34" t="s">
        <v>245</v>
      </c>
      <c r="H6" s="31"/>
      <c r="I6" s="24" t="s">
        <v>89</v>
      </c>
      <c r="J6" s="41" t="s">
        <v>99</v>
      </c>
      <c r="K6" s="25" t="s">
        <v>90</v>
      </c>
      <c r="L6" s="26" t="s">
        <v>89</v>
      </c>
      <c r="M6" s="23" t="s">
        <v>89</v>
      </c>
      <c r="N6" s="18" t="str">
        <f>"LibFilters3"&amp;"-shown-"&amp;VLOOKUP(A6,'LibFilters3 filterPanelIds'!$A$3:$B$999,2) &amp; "-" &amp; IF(AND(B6&lt;&gt;"",B6&lt;&gt;"nil"),B6,"")</f>
        <v>LibFilters3-shown-3-</v>
      </c>
      <c r="O6" s="18" t="str">
        <f>"LibFilters3"&amp;"-hidden-"&amp;VLOOKUP(A6,'LibFilters3 filterPanelIds'!$A$3:$B$999,2) &amp; "-" &amp; IF(AND(B6&lt;&gt;"",B6&lt;&gt;"nil"),B6,"")</f>
        <v>LibFilters3-hidden-3-</v>
      </c>
      <c r="P6" s="9" t="s">
        <v>89</v>
      </c>
      <c r="Q6" s="14"/>
    </row>
    <row r="7" spans="1:17" s="13" customFormat="1" ht="50.1" customHeight="1" x14ac:dyDescent="0.25">
      <c r="A7" s="16" t="s">
        <v>40</v>
      </c>
      <c r="B7" s="16"/>
      <c r="C7" s="14" t="str">
        <f>VLOOKUP(A7,'LibFilters3 filterPanelIds'!$A$3:$C$1000,3,FALSE)</f>
        <v>Player bank Withdraw</v>
      </c>
      <c r="D7" s="17" t="s">
        <v>88</v>
      </c>
      <c r="E7" s="50" t="s">
        <v>89</v>
      </c>
      <c r="F7" s="32" t="s">
        <v>229</v>
      </c>
      <c r="G7" s="32" t="s">
        <v>231</v>
      </c>
      <c r="H7" s="32" t="s">
        <v>230</v>
      </c>
      <c r="I7" s="24"/>
      <c r="J7" s="42" t="s">
        <v>159</v>
      </c>
      <c r="K7" s="25" t="s">
        <v>94</v>
      </c>
      <c r="L7" s="26" t="s">
        <v>89</v>
      </c>
      <c r="M7" s="23" t="s">
        <v>89</v>
      </c>
      <c r="N7" s="18" t="str">
        <f>"LibFilters3"&amp;"-shown-"&amp;VLOOKUP(A7,'LibFilters3 filterPanelIds'!$A$3:$B$999,2) &amp; "-" &amp; IF(AND(B7&lt;&gt;"",B7&lt;&gt;"nil"),B7,"")</f>
        <v>LibFilters3-shown-2-</v>
      </c>
      <c r="O7" s="18" t="str">
        <f>"LibFilters3"&amp;"-hidden-"&amp;VLOOKUP(A7,'LibFilters3 filterPanelIds'!$A$3:$B$999,2) &amp; "-" &amp; IF(AND(B7&lt;&gt;"",B7&lt;&gt;"nil"),B7,"")</f>
        <v>LibFilters3-hidden-2-</v>
      </c>
      <c r="P7" s="9" t="s">
        <v>89</v>
      </c>
      <c r="Q7" s="14" t="s">
        <v>172</v>
      </c>
    </row>
    <row r="8" spans="1:17" s="13" customFormat="1" ht="50.1" hidden="1" customHeight="1" x14ac:dyDescent="0.25">
      <c r="A8" s="16" t="s">
        <v>40</v>
      </c>
      <c r="B8" s="16"/>
      <c r="C8" s="14" t="str">
        <f>VLOOKUP(A8,'LibFilters3 filterPanelIds'!$A$3:$C$1000,3,FALSE)</f>
        <v>Player bank Withdraw</v>
      </c>
      <c r="D8" s="19" t="s">
        <v>87</v>
      </c>
      <c r="E8" s="28"/>
      <c r="F8" s="33"/>
      <c r="G8" s="34" t="s">
        <v>245</v>
      </c>
      <c r="H8" s="31"/>
      <c r="I8" s="24" t="s">
        <v>89</v>
      </c>
      <c r="J8" s="42" t="s">
        <v>159</v>
      </c>
      <c r="K8" s="25" t="s">
        <v>94</v>
      </c>
      <c r="L8" s="26" t="s">
        <v>89</v>
      </c>
      <c r="M8" s="23" t="s">
        <v>89</v>
      </c>
      <c r="N8" s="18" t="str">
        <f>"LibFilters3"&amp;"-shown-"&amp;VLOOKUP(A8,'LibFilters3 filterPanelIds'!$A$3:$B$999,2) &amp; "-" &amp; IF(AND(B8&lt;&gt;"",B8&lt;&gt;"nil"),B8,"")</f>
        <v>LibFilters3-shown-2-</v>
      </c>
      <c r="O8" s="18" t="str">
        <f>"LibFilters3"&amp;"-hidden-"&amp;VLOOKUP(A8,'LibFilters3 filterPanelIds'!$A$3:$B$999,2) &amp; "-" &amp; IF(AND(B8&lt;&gt;"",B8&lt;&gt;"nil"),B8,"")</f>
        <v>LibFilters3-hidden-2-</v>
      </c>
      <c r="P8" s="9" t="s">
        <v>89</v>
      </c>
      <c r="Q8" s="14"/>
    </row>
    <row r="9" spans="1:17" s="13" customFormat="1" ht="50.1" customHeight="1" x14ac:dyDescent="0.25">
      <c r="A9" s="16" t="s">
        <v>54</v>
      </c>
      <c r="B9" s="16"/>
      <c r="C9" s="14" t="str">
        <f>VLOOKUP(A9,'LibFilters3 filterPanelIds'!$A$3:$C$1000,3,FALSE)</f>
        <v>CraftBag</v>
      </c>
      <c r="D9" s="17" t="s">
        <v>88</v>
      </c>
      <c r="E9" s="50" t="s">
        <v>89</v>
      </c>
      <c r="F9" s="32" t="s">
        <v>229</v>
      </c>
      <c r="G9" s="32" t="s">
        <v>231</v>
      </c>
      <c r="H9" s="32" t="s">
        <v>230</v>
      </c>
      <c r="I9" s="24"/>
      <c r="J9" s="40" t="s">
        <v>171</v>
      </c>
      <c r="K9" s="25" t="s">
        <v>94</v>
      </c>
      <c r="L9" s="26"/>
      <c r="M9" s="23" t="s">
        <v>89</v>
      </c>
      <c r="N9" s="18" t="str">
        <f>"LibFilters3"&amp;"-shown-"&amp;VLOOKUP(A9,'LibFilters3 filterPanelIds'!$A$3:$B$999,2) &amp; "-" &amp; IF(AND(B9&lt;&gt;"",B9&lt;&gt;"nil"),B9,"")</f>
        <v>LibFilters3-shown-26-</v>
      </c>
      <c r="O9" s="18" t="str">
        <f>"LibFilters3"&amp;"-hidden-"&amp;VLOOKUP(A9,'LibFilters3 filterPanelIds'!$A$3:$B$999,2) &amp; "-" &amp; IF(AND(B9&lt;&gt;"",B9&lt;&gt;"nil"),B9,"")</f>
        <v>LibFilters3-hidden-26-</v>
      </c>
      <c r="P9" s="9" t="s">
        <v>89</v>
      </c>
      <c r="Q9" s="14"/>
    </row>
    <row r="10" spans="1:17" s="13" customFormat="1" ht="50.1" hidden="1" customHeight="1" x14ac:dyDescent="0.25">
      <c r="A10" s="16" t="s">
        <v>54</v>
      </c>
      <c r="B10" s="16"/>
      <c r="C10" s="14" t="str">
        <f>VLOOKUP(A10,'LibFilters3 filterPanelIds'!$A$3:$C$1000,3,FALSE)</f>
        <v>CraftBag</v>
      </c>
      <c r="D10" s="19" t="s">
        <v>87</v>
      </c>
      <c r="E10" s="28"/>
      <c r="F10" s="33"/>
      <c r="G10" s="34" t="s">
        <v>245</v>
      </c>
      <c r="H10" s="31"/>
      <c r="I10" s="24" t="s">
        <v>89</v>
      </c>
      <c r="J10" s="42" t="s">
        <v>160</v>
      </c>
      <c r="K10" s="25" t="s">
        <v>94</v>
      </c>
      <c r="L10" s="26" t="s">
        <v>89</v>
      </c>
      <c r="M10" s="23" t="s">
        <v>89</v>
      </c>
      <c r="N10" s="18" t="str">
        <f>"LibFilters3"&amp;"-shown-"&amp;VLOOKUP(A10,'LibFilters3 filterPanelIds'!$A$3:$B$999,2) &amp; "-" &amp; IF(AND(B10&lt;&gt;"",B10&lt;&gt;"nil"),B10,"")</f>
        <v>LibFilters3-shown-26-</v>
      </c>
      <c r="O10" s="18" t="str">
        <f>"LibFilters3"&amp;"-hidden-"&amp;VLOOKUP(A10,'LibFilters3 filterPanelIds'!$A$3:$B$999,2) &amp; "-" &amp; IF(AND(B10&lt;&gt;"",B10&lt;&gt;"nil"),B10,"")</f>
        <v>LibFilters3-hidden-26-</v>
      </c>
      <c r="P10" s="9" t="s">
        <v>89</v>
      </c>
      <c r="Q10" s="14" t="s">
        <v>93</v>
      </c>
    </row>
    <row r="11" spans="1:17" s="13" customFormat="1" ht="50.1" customHeight="1" x14ac:dyDescent="0.25">
      <c r="A11" s="16" t="s">
        <v>34</v>
      </c>
      <c r="B11" s="16"/>
      <c r="C11" s="14" t="str">
        <f>VLOOKUP(A11,'LibFilters3 filterPanelIds'!$A$3:$C$1000,3,FALSE)</f>
        <v>Enchanting table's glyph creation</v>
      </c>
      <c r="D11" s="17" t="s">
        <v>88</v>
      </c>
      <c r="E11" s="50" t="s">
        <v>89</v>
      </c>
      <c r="F11" s="32" t="s">
        <v>192</v>
      </c>
      <c r="G11" s="32" t="s">
        <v>191</v>
      </c>
      <c r="H11" s="31" t="s">
        <v>190</v>
      </c>
      <c r="I11" s="24"/>
      <c r="J11" s="39" t="s">
        <v>146</v>
      </c>
      <c r="K11" s="25" t="s">
        <v>124</v>
      </c>
      <c r="L11" s="26" t="s">
        <v>89</v>
      </c>
      <c r="M11" s="23" t="s">
        <v>89</v>
      </c>
      <c r="N11" s="18" t="str">
        <f>"LibFilters3"&amp;"-shown-"&amp;VLOOKUP(A11,'LibFilters3 filterPanelIds'!$A$3:$B$999,2) &amp; "-" &amp; IF(AND(B11&lt;&gt;"",B11&lt;&gt;"nil"),B11,"")</f>
        <v>LibFilters3-shown-20-</v>
      </c>
      <c r="O11" s="18" t="str">
        <f>"LibFilters3"&amp;"-hidden-"&amp;VLOOKUP(A11,'LibFilters3 filterPanelIds'!$A$3:$B$999,2) &amp; "-" &amp; IF(AND(B11&lt;&gt;"",B11&lt;&gt;"nil"),B11,"")</f>
        <v>LibFilters3-hidden-20-</v>
      </c>
      <c r="P11" s="9" t="s">
        <v>89</v>
      </c>
      <c r="Q11" s="14"/>
    </row>
    <row r="12" spans="1:17" s="13" customFormat="1" ht="50.1" customHeight="1" x14ac:dyDescent="0.25">
      <c r="A12" s="16" t="s">
        <v>34</v>
      </c>
      <c r="B12" s="16"/>
      <c r="C12" s="14" t="str">
        <f>VLOOKUP(A12,'LibFilters3 filterPanelIds'!$A$3:$C$1000,3,FALSE)</f>
        <v>Enchanting table's glyph creation</v>
      </c>
      <c r="D12" s="19" t="s">
        <v>87</v>
      </c>
      <c r="E12" s="50" t="s">
        <v>89</v>
      </c>
      <c r="F12" s="32" t="s">
        <v>192</v>
      </c>
      <c r="G12" s="32" t="s">
        <v>191</v>
      </c>
      <c r="H12" s="31" t="s">
        <v>190</v>
      </c>
      <c r="I12" s="24"/>
      <c r="J12" s="39" t="s">
        <v>146</v>
      </c>
      <c r="K12" s="25" t="s">
        <v>124</v>
      </c>
      <c r="L12" s="26" t="s">
        <v>89</v>
      </c>
      <c r="M12" s="23" t="s">
        <v>89</v>
      </c>
      <c r="N12" s="18" t="str">
        <f>"LibFilters3"&amp;"-shown-"&amp;VLOOKUP(A12,'LibFilters3 filterPanelIds'!$A$3:$B$999,2) &amp; "-" &amp; IF(AND(B12&lt;&gt;"",B12&lt;&gt;"nil"),B12,"")</f>
        <v>LibFilters3-shown-20-</v>
      </c>
      <c r="O12" s="18" t="str">
        <f>"LibFilters3"&amp;"-hidden-"&amp;VLOOKUP(A12,'LibFilters3 filterPanelIds'!$A$3:$B$999,2) &amp; "-" &amp; IF(AND(B12&lt;&gt;"",B12&lt;&gt;"nil"),B12,"")</f>
        <v>LibFilters3-hidden-20-</v>
      </c>
      <c r="P12" s="9" t="s">
        <v>89</v>
      </c>
      <c r="Q12" s="14" t="s">
        <v>193</v>
      </c>
    </row>
    <row r="13" spans="1:17" s="13" customFormat="1" ht="50.1" customHeight="1" x14ac:dyDescent="0.25">
      <c r="A13" s="16" t="s">
        <v>35</v>
      </c>
      <c r="B13" s="16" t="s">
        <v>206</v>
      </c>
      <c r="C13" s="14" t="str">
        <f>VLOOKUP(A13,'LibFilters3 filterPanelIds'!$A$3:$C$1000,3,FALSE)</f>
        <v>Enchanting table's glyph extraction</v>
      </c>
      <c r="D13" s="17" t="s">
        <v>88</v>
      </c>
      <c r="E13" s="50" t="s">
        <v>89</v>
      </c>
      <c r="F13" s="32" t="s">
        <v>192</v>
      </c>
      <c r="G13" s="32" t="s">
        <v>191</v>
      </c>
      <c r="H13" s="31" t="s">
        <v>190</v>
      </c>
      <c r="I13" s="24"/>
      <c r="J13" s="39" t="s">
        <v>147</v>
      </c>
      <c r="K13" s="25" t="s">
        <v>124</v>
      </c>
      <c r="L13" s="26" t="s">
        <v>89</v>
      </c>
      <c r="M13" s="23" t="s">
        <v>89</v>
      </c>
      <c r="N13" s="18" t="str">
        <f>"LibFilters3"&amp;"-shown-"&amp;VLOOKUP(A13,'LibFilters3 filterPanelIds'!$A$3:$B$999,2) &amp; "-" &amp; IF(AND(B13&lt;&gt;"",B13&lt;&gt;"nil"),B13,"")</f>
        <v>LibFilters3-shown-21-</v>
      </c>
      <c r="O13" s="18" t="str">
        <f>"LibFilters3"&amp;"-hidden-"&amp;VLOOKUP(A13,'LibFilters3 filterPanelIds'!$A$3:$B$999,2) &amp; "-" &amp; IF(AND(B13&lt;&gt;"",B13&lt;&gt;"nil"),B13,"")</f>
        <v>LibFilters3-hidden-21-</v>
      </c>
      <c r="P13" s="9" t="s">
        <v>89</v>
      </c>
      <c r="Q13" s="14"/>
    </row>
    <row r="14" spans="1:17" s="13" customFormat="1" ht="50.1" customHeight="1" x14ac:dyDescent="0.25">
      <c r="A14" s="16" t="s">
        <v>35</v>
      </c>
      <c r="B14" s="16" t="s">
        <v>206</v>
      </c>
      <c r="C14" s="14" t="str">
        <f>VLOOKUP(A14,'LibFilters3 filterPanelIds'!$A$3:$C$1000,3,FALSE)</f>
        <v>Enchanting table's glyph extraction</v>
      </c>
      <c r="D14" s="19" t="s">
        <v>87</v>
      </c>
      <c r="E14" s="50" t="s">
        <v>89</v>
      </c>
      <c r="F14" s="32" t="s">
        <v>192</v>
      </c>
      <c r="G14" s="32" t="s">
        <v>191</v>
      </c>
      <c r="H14" s="31" t="s">
        <v>190</v>
      </c>
      <c r="I14" s="24"/>
      <c r="J14" s="39" t="s">
        <v>147</v>
      </c>
      <c r="K14" s="25" t="s">
        <v>124</v>
      </c>
      <c r="L14" s="26" t="s">
        <v>89</v>
      </c>
      <c r="M14" s="23" t="s">
        <v>89</v>
      </c>
      <c r="N14" s="18" t="str">
        <f>"LibFilters3"&amp;"-shown-"&amp;VLOOKUP(A14,'LibFilters3 filterPanelIds'!$A$3:$B$999,2) &amp; "-" &amp; IF(AND(B14&lt;&gt;"",B14&lt;&gt;"nil"),B14,"")</f>
        <v>LibFilters3-shown-21-</v>
      </c>
      <c r="O14" s="18" t="str">
        <f>"LibFilters3"&amp;"-hidden-"&amp;VLOOKUP(A14,'LibFilters3 filterPanelIds'!$A$3:$B$999,2) &amp; "-" &amp; IF(AND(B14&lt;&gt;"",B14&lt;&gt;"nil"),B14,"")</f>
        <v>LibFilters3-hidden-21-</v>
      </c>
      <c r="P14" s="9" t="s">
        <v>89</v>
      </c>
      <c r="Q14" s="14" t="s">
        <v>193</v>
      </c>
    </row>
    <row r="15" spans="1:17" s="13" customFormat="1" ht="50.1" customHeight="1" x14ac:dyDescent="0.25">
      <c r="A15" s="16" t="s">
        <v>35</v>
      </c>
      <c r="B15" s="16" t="s">
        <v>209</v>
      </c>
      <c r="C15" s="14" t="s">
        <v>215</v>
      </c>
      <c r="D15" s="17" t="s">
        <v>88</v>
      </c>
      <c r="E15" s="50" t="s">
        <v>89</v>
      </c>
      <c r="F15" s="32" t="s">
        <v>210</v>
      </c>
      <c r="G15" s="32" t="s">
        <v>212</v>
      </c>
      <c r="H15" s="32" t="s">
        <v>211</v>
      </c>
      <c r="I15" s="24"/>
      <c r="J15" s="39" t="s">
        <v>147</v>
      </c>
      <c r="K15" s="25" t="s">
        <v>124</v>
      </c>
      <c r="L15" s="26" t="s">
        <v>89</v>
      </c>
      <c r="M15" s="23" t="s">
        <v>89</v>
      </c>
      <c r="N15" s="18" t="str">
        <f>"LibFilters3"&amp;"-shown-"&amp;VLOOKUP(A15,'LibFilters3 filterPanelIds'!$A$3:$B$999,2) &amp; "-" &amp; IF(AND(B15&lt;&gt;"",B15&lt;&gt;"nil"),B15,"")</f>
        <v>LibFilters3-shown-21-"enchantments"</v>
      </c>
      <c r="O15" s="18" t="str">
        <f>"LibFilters3"&amp;"-hidden-"&amp;VLOOKUP(A15,'LibFilters3 filterPanelIds'!$A$3:$B$999,2) &amp; "-" &amp; IF(AND(B15&lt;&gt;"",B15&lt;&gt;"nil"),B15,"")</f>
        <v>LibFilters3-hidden-21-"enchantments"</v>
      </c>
      <c r="P15" s="9" t="s">
        <v>89</v>
      </c>
      <c r="Q15" s="14"/>
    </row>
    <row r="16" spans="1:17" s="13" customFormat="1" ht="50.1" customHeight="1" x14ac:dyDescent="0.25">
      <c r="A16" s="16" t="s">
        <v>35</v>
      </c>
      <c r="B16" s="16" t="s">
        <v>209</v>
      </c>
      <c r="C16" s="14" t="s">
        <v>215</v>
      </c>
      <c r="D16" s="19" t="s">
        <v>87</v>
      </c>
      <c r="E16" s="50" t="s">
        <v>89</v>
      </c>
      <c r="F16" s="32" t="s">
        <v>210</v>
      </c>
      <c r="G16" s="32" t="s">
        <v>212</v>
      </c>
      <c r="H16" s="32" t="s">
        <v>211</v>
      </c>
      <c r="I16" s="24"/>
      <c r="J16" s="39" t="s">
        <v>147</v>
      </c>
      <c r="K16" s="25" t="s">
        <v>124</v>
      </c>
      <c r="L16" s="26" t="s">
        <v>89</v>
      </c>
      <c r="M16" s="23" t="s">
        <v>89</v>
      </c>
      <c r="N16" s="18" t="str">
        <f>"LibFilters3"&amp;"-shown-"&amp;VLOOKUP(A16,'LibFilters3 filterPanelIds'!$A$3:$B$999,2) &amp; "-" &amp; IF(AND(B16&lt;&gt;"",B16&lt;&gt;"nil"),B16,"")</f>
        <v>LibFilters3-shown-21-"enchantments"</v>
      </c>
      <c r="O16" s="18" t="str">
        <f>"LibFilters3"&amp;"-hidden-"&amp;VLOOKUP(A16,'LibFilters3 filterPanelIds'!$A$3:$B$999,2) &amp; "-" &amp; IF(AND(B16&lt;&gt;"",B16&lt;&gt;"nil"),B16,"")</f>
        <v>LibFilters3-hidden-21-"enchantments"</v>
      </c>
      <c r="P16" s="9" t="s">
        <v>89</v>
      </c>
      <c r="Q16" s="14" t="s">
        <v>193</v>
      </c>
    </row>
    <row r="17" spans="1:17" s="13" customFormat="1" ht="50.1" customHeight="1" x14ac:dyDescent="0.25">
      <c r="A17" s="16" t="s">
        <v>53</v>
      </c>
      <c r="B17" s="16"/>
      <c r="C17" s="14" t="str">
        <f>VLOOKUP(A17,'LibFilters3 filterPanelIds'!$A$3:$C$1000,3,FALSE)</f>
        <v>Fence vendor launder</v>
      </c>
      <c r="D17" s="17" t="s">
        <v>88</v>
      </c>
      <c r="E17" s="50" t="s">
        <v>89</v>
      </c>
      <c r="F17" s="32" t="s">
        <v>216</v>
      </c>
      <c r="G17" s="32" t="s">
        <v>217</v>
      </c>
      <c r="H17" s="32" t="s">
        <v>223</v>
      </c>
      <c r="I17" s="24"/>
      <c r="J17" s="43" t="s">
        <v>144</v>
      </c>
      <c r="K17" s="25" t="s">
        <v>120</v>
      </c>
      <c r="L17" s="26" t="s">
        <v>89</v>
      </c>
      <c r="M17" s="23" t="s">
        <v>89</v>
      </c>
      <c r="N17" s="18" t="str">
        <f>"LibFilters3"&amp;"-shown-"&amp;VLOOKUP(A17,'LibFilters3 filterPanelIds'!$A$3:$B$999,2) &amp; "-" &amp; IF(AND(B17&lt;&gt;"",B17&lt;&gt;"nil"),B17,"")</f>
        <v>LibFilters3-shown-25-</v>
      </c>
      <c r="O17" s="18" t="str">
        <f>"LibFilters3"&amp;"-hidden-"&amp;VLOOKUP(A17,'LibFilters3 filterPanelIds'!$A$3:$B$999,2) &amp; "-" &amp; IF(AND(B17&lt;&gt;"",B17&lt;&gt;"nil"),B17,"")</f>
        <v>LibFilters3-hidden-25-</v>
      </c>
      <c r="P17" s="9" t="s">
        <v>89</v>
      </c>
      <c r="Q17" s="14"/>
    </row>
    <row r="18" spans="1:17" s="13" customFormat="1" ht="50.1" hidden="1" customHeight="1" x14ac:dyDescent="0.25">
      <c r="A18" s="16" t="s">
        <v>53</v>
      </c>
      <c r="B18" s="16"/>
      <c r="C18" s="14" t="str">
        <f>VLOOKUP(A18,'LibFilters3 filterPanelIds'!$A$3:$C$1000,3,FALSE)</f>
        <v>Fence vendor launder</v>
      </c>
      <c r="D18" s="19" t="s">
        <v>87</v>
      </c>
      <c r="E18" s="28"/>
      <c r="F18" s="33"/>
      <c r="G18" s="35"/>
      <c r="H18" s="31"/>
      <c r="I18" s="24"/>
      <c r="J18" s="41" t="s">
        <v>115</v>
      </c>
      <c r="K18" s="25" t="s">
        <v>90</v>
      </c>
      <c r="L18" s="26" t="s">
        <v>89</v>
      </c>
      <c r="M18" s="23" t="s">
        <v>89</v>
      </c>
      <c r="N18" s="18" t="str">
        <f>"LibFilters3"&amp;"-shown-"&amp;VLOOKUP(A18,'LibFilters3 filterPanelIds'!$A$3:$B$999,2) &amp; "-" &amp; IF(AND(B18&lt;&gt;"",B18&lt;&gt;"nil"),B18,"")</f>
        <v>LibFilters3-shown-25-</v>
      </c>
      <c r="O18" s="18" t="str">
        <f>"LibFilters3"&amp;"-hidden-"&amp;VLOOKUP(A18,'LibFilters3 filterPanelIds'!$A$3:$B$999,2) &amp; "-" &amp; IF(AND(B18&lt;&gt;"",B18&lt;&gt;"nil"),B18,"")</f>
        <v>LibFilters3-hidden-25-</v>
      </c>
      <c r="P18" s="9" t="s">
        <v>89</v>
      </c>
      <c r="Q18" s="14"/>
    </row>
    <row r="19" spans="1:17" s="13" customFormat="1" ht="50.1" customHeight="1" x14ac:dyDescent="0.25">
      <c r="A19" s="16" t="s">
        <v>52</v>
      </c>
      <c r="B19" s="16"/>
      <c r="C19" s="14" t="str">
        <f>VLOOKUP(A19,'LibFilters3 filterPanelIds'!$A$3:$C$1000,3,FALSE)</f>
        <v>Fence vendor sell</v>
      </c>
      <c r="D19" s="17" t="s">
        <v>88</v>
      </c>
      <c r="E19" s="50" t="s">
        <v>89</v>
      </c>
      <c r="F19" s="32" t="s">
        <v>216</v>
      </c>
      <c r="G19" s="32" t="s">
        <v>217</v>
      </c>
      <c r="H19" s="32" t="s">
        <v>222</v>
      </c>
      <c r="I19" s="24"/>
      <c r="J19" s="43" t="s">
        <v>143</v>
      </c>
      <c r="K19" s="25" t="s">
        <v>120</v>
      </c>
      <c r="L19" s="26" t="s">
        <v>89</v>
      </c>
      <c r="M19" s="23" t="s">
        <v>89</v>
      </c>
      <c r="N19" s="18" t="str">
        <f>"LibFilters3"&amp;"-shown-"&amp;VLOOKUP(A19,'LibFilters3 filterPanelIds'!$A$3:$B$999,2) &amp; "-" &amp; IF(AND(B19&lt;&gt;"",B19&lt;&gt;"nil"),B19,"")</f>
        <v>LibFilters3-shown-24-</v>
      </c>
      <c r="O19" s="18" t="str">
        <f>"LibFilters3"&amp;"-hidden-"&amp;VLOOKUP(A19,'LibFilters3 filterPanelIds'!$A$3:$B$999,2) &amp; "-" &amp; IF(AND(B19&lt;&gt;"",B19&lt;&gt;"nil"),B19,"")</f>
        <v>LibFilters3-hidden-24-</v>
      </c>
      <c r="P19" s="9" t="s">
        <v>89</v>
      </c>
      <c r="Q19" s="14"/>
    </row>
    <row r="20" spans="1:17" s="13" customFormat="1" ht="50.1" hidden="1" customHeight="1" x14ac:dyDescent="0.25">
      <c r="A20" s="16" t="s">
        <v>52</v>
      </c>
      <c r="B20" s="16"/>
      <c r="C20" s="14" t="str">
        <f>VLOOKUP(A20,'LibFilters3 filterPanelIds'!$A$3:$C$1000,3,FALSE)</f>
        <v>Fence vendor sell</v>
      </c>
      <c r="D20" s="19" t="s">
        <v>87</v>
      </c>
      <c r="E20" s="28"/>
      <c r="F20" s="33"/>
      <c r="G20" s="35"/>
      <c r="H20" s="31"/>
      <c r="I20" s="24"/>
      <c r="J20" s="41" t="s">
        <v>113</v>
      </c>
      <c r="K20" s="25" t="s">
        <v>90</v>
      </c>
      <c r="L20" s="26" t="s">
        <v>89</v>
      </c>
      <c r="M20" s="23" t="s">
        <v>89</v>
      </c>
      <c r="N20" s="18" t="str">
        <f>"LibFilters3"&amp;"-shown-"&amp;VLOOKUP(A20,'LibFilters3 filterPanelIds'!$A$3:$B$999,2) &amp; "-" &amp; IF(AND(B20&lt;&gt;"",B20&lt;&gt;"nil"),B20,"")</f>
        <v>LibFilters3-shown-24-</v>
      </c>
      <c r="O20" s="18" t="str">
        <f>"LibFilters3"&amp;"-hidden-"&amp;VLOOKUP(A20,'LibFilters3 filterPanelIds'!$A$3:$B$999,2) &amp; "-" &amp; IF(AND(B20&lt;&gt;"",B20&lt;&gt;"nil"),B20,"")</f>
        <v>LibFilters3-hidden-24-</v>
      </c>
      <c r="P20" s="9" t="s">
        <v>89</v>
      </c>
      <c r="Q20" s="14"/>
    </row>
    <row r="21" spans="1:17" s="13" customFormat="1" ht="50.1" customHeight="1" x14ac:dyDescent="0.25">
      <c r="A21" s="16" t="s">
        <v>61</v>
      </c>
      <c r="B21" s="16"/>
      <c r="C21" s="14" t="str">
        <f>VLOOKUP(A21,'LibFilters3 filterPanelIds'!$A$3:$C$1000,3,FALSE)</f>
        <v>Furniture vault Deposit (ESO+ Housing)</v>
      </c>
      <c r="D21" s="17" t="s">
        <v>88</v>
      </c>
      <c r="E21" s="50" t="s">
        <v>89</v>
      </c>
      <c r="F21" s="32" t="s">
        <v>229</v>
      </c>
      <c r="G21" s="32" t="s">
        <v>231</v>
      </c>
      <c r="H21" s="32" t="s">
        <v>230</v>
      </c>
      <c r="I21" s="24"/>
      <c r="J21" s="40" t="s">
        <v>150</v>
      </c>
      <c r="K21" s="27" t="s">
        <v>148</v>
      </c>
      <c r="L21" s="26"/>
      <c r="M21" s="23" t="s">
        <v>89</v>
      </c>
      <c r="N21" s="18" t="str">
        <f>"LibFilters3"&amp;"-shown-"&amp;VLOOKUP(A21,'LibFilters3 filterPanelIds'!$A$3:$B$999,2) &amp; "-" &amp; IF(AND(B21&lt;&gt;"",B21&lt;&gt;"nil"),B21,"")</f>
        <v>LibFilters3-shown-41-</v>
      </c>
      <c r="O21" s="18" t="str">
        <f>"LibFilters3"&amp;"-hidden-"&amp;VLOOKUP(A21,'LibFilters3 filterPanelIds'!$A$3:$B$999,2) &amp; "-" &amp; IF(AND(B21&lt;&gt;"",B21&lt;&gt;"nil"),B21,"")</f>
        <v>LibFilters3-hidden-41-</v>
      </c>
      <c r="P21" s="9" t="s">
        <v>89</v>
      </c>
      <c r="Q21" s="14"/>
    </row>
    <row r="22" spans="1:17" s="13" customFormat="1" ht="50.1" hidden="1" customHeight="1" x14ac:dyDescent="0.25">
      <c r="A22" s="16" t="s">
        <v>61</v>
      </c>
      <c r="B22" s="16"/>
      <c r="C22" s="14" t="str">
        <f>VLOOKUP(A22,'LibFilters3 filterPanelIds'!$A$3:$C$1000,3,FALSE)</f>
        <v>Furniture vault Deposit (ESO+ Housing)</v>
      </c>
      <c r="D22" s="19" t="s">
        <v>87</v>
      </c>
      <c r="E22" s="28"/>
      <c r="F22" s="33"/>
      <c r="G22" s="35"/>
      <c r="H22" s="31"/>
      <c r="I22" s="24"/>
      <c r="J22" s="41" t="s">
        <v>114</v>
      </c>
      <c r="K22" s="25" t="s">
        <v>90</v>
      </c>
      <c r="L22" s="26" t="s">
        <v>89</v>
      </c>
      <c r="M22" s="23" t="s">
        <v>89</v>
      </c>
      <c r="N22" s="18" t="str">
        <f>"LibFilters3"&amp;"-shown-"&amp;VLOOKUP(A22,'LibFilters3 filterPanelIds'!$A$3:$B$999,2) &amp; "-" &amp; IF(AND(B22&lt;&gt;"",B22&lt;&gt;"nil"),B22,"")</f>
        <v>LibFilters3-shown-41-</v>
      </c>
      <c r="O22" s="18" t="str">
        <f>"LibFilters3"&amp;"-hidden-"&amp;VLOOKUP(A22,'LibFilters3 filterPanelIds'!$A$3:$B$999,2) &amp; "-" &amp; IF(AND(B22&lt;&gt;"",B22&lt;&gt;"nil"),B22,"")</f>
        <v>LibFilters3-hidden-41-</v>
      </c>
      <c r="P22" s="9" t="s">
        <v>89</v>
      </c>
      <c r="Q22" s="14"/>
    </row>
    <row r="23" spans="1:17" s="13" customFormat="1" ht="50.1" customHeight="1" x14ac:dyDescent="0.25">
      <c r="A23" s="16" t="s">
        <v>60</v>
      </c>
      <c r="B23" s="16"/>
      <c r="C23" s="14" t="str">
        <f>VLOOKUP(A23,'LibFilters3 filterPanelIds'!$A$3:$C$1000,3,FALSE)</f>
        <v>Furniture vault Withdraw (ESO+ Housing)</v>
      </c>
      <c r="D23" s="17" t="s">
        <v>88</v>
      </c>
      <c r="E23" s="50" t="s">
        <v>89</v>
      </c>
      <c r="F23" s="32" t="s">
        <v>229</v>
      </c>
      <c r="G23" s="32" t="s">
        <v>231</v>
      </c>
      <c r="H23" s="32" t="s">
        <v>230</v>
      </c>
      <c r="I23" s="24"/>
      <c r="J23" s="42" t="s">
        <v>173</v>
      </c>
      <c r="K23" s="25" t="s">
        <v>98</v>
      </c>
      <c r="L23" s="26" t="s">
        <v>89</v>
      </c>
      <c r="M23" s="23" t="s">
        <v>89</v>
      </c>
      <c r="N23" s="18" t="str">
        <f>"LibFilters3"&amp;"-shown-"&amp;VLOOKUP(A23,'LibFilters3 filterPanelIds'!$A$3:$B$999,2) &amp; "-" &amp; IF(AND(B23&lt;&gt;"",B23&lt;&gt;"nil"),B23,"")</f>
        <v>LibFilters3-shown-40-</v>
      </c>
      <c r="O23" s="18" t="str">
        <f>"LibFilters3"&amp;"-hidden-"&amp;VLOOKUP(A23,'LibFilters3 filterPanelIds'!$A$3:$B$999,2) &amp; "-" &amp; IF(AND(B23&lt;&gt;"",B23&lt;&gt;"nil"),B23,"")</f>
        <v>LibFilters3-hidden-40-</v>
      </c>
      <c r="P23" s="9" t="s">
        <v>89</v>
      </c>
      <c r="Q23" s="14" t="s">
        <v>172</v>
      </c>
    </row>
    <row r="24" spans="1:17" s="13" customFormat="1" ht="50.1" hidden="1" customHeight="1" x14ac:dyDescent="0.25">
      <c r="A24" s="16" t="s">
        <v>60</v>
      </c>
      <c r="B24" s="16"/>
      <c r="C24" s="14" t="str">
        <f>VLOOKUP(A24,'LibFilters3 filterPanelIds'!$A$3:$C$1000,3,FALSE)</f>
        <v>Furniture vault Withdraw (ESO+ Housing)</v>
      </c>
      <c r="D24" s="19" t="s">
        <v>87</v>
      </c>
      <c r="E24" s="28"/>
      <c r="F24" s="33"/>
      <c r="G24" s="35"/>
      <c r="H24" s="31"/>
      <c r="I24" s="24"/>
      <c r="J24" s="42" t="s">
        <v>173</v>
      </c>
      <c r="K24" s="25" t="s">
        <v>98</v>
      </c>
      <c r="L24" s="26" t="s">
        <v>89</v>
      </c>
      <c r="M24" s="23" t="s">
        <v>89</v>
      </c>
      <c r="N24" s="18" t="str">
        <f>"LibFilters3"&amp;"-shown-"&amp;VLOOKUP(A24,'LibFilters3 filterPanelIds'!$A$3:$B$999,2) &amp; "-" &amp; IF(AND(B24&lt;&gt;"",B24&lt;&gt;"nil"),B24,"")</f>
        <v>LibFilters3-shown-40-</v>
      </c>
      <c r="O24" s="18" t="str">
        <f>"LibFilters3"&amp;"-hidden-"&amp;VLOOKUP(A24,'LibFilters3 filterPanelIds'!$A$3:$B$999,2) &amp; "-" &amp; IF(AND(B24&lt;&gt;"",B24&lt;&gt;"nil"),B24,"")</f>
        <v>LibFilters3-hidden-40-</v>
      </c>
      <c r="P24" s="9" t="s">
        <v>89</v>
      </c>
      <c r="Q24" s="14"/>
    </row>
    <row r="25" spans="1:17" s="13" customFormat="1" ht="50.1" customHeight="1" x14ac:dyDescent="0.25">
      <c r="A25" s="16" t="s">
        <v>43</v>
      </c>
      <c r="B25" s="16"/>
      <c r="C25" s="14" t="str">
        <f>VLOOKUP(A25,'LibFilters3 filterPanelIds'!$A$3:$C$1000,3,FALSE)</f>
        <v>Guildbank Deposit</v>
      </c>
      <c r="D25" s="17" t="s">
        <v>88</v>
      </c>
      <c r="E25" s="50" t="s">
        <v>89</v>
      </c>
      <c r="F25" s="32" t="s">
        <v>229</v>
      </c>
      <c r="G25" s="32" t="s">
        <v>231</v>
      </c>
      <c r="H25" s="32" t="s">
        <v>230</v>
      </c>
      <c r="I25" s="24"/>
      <c r="J25" s="40" t="s">
        <v>151</v>
      </c>
      <c r="K25" s="25" t="s">
        <v>148</v>
      </c>
      <c r="L25" s="26"/>
      <c r="M25" s="23" t="s">
        <v>89</v>
      </c>
      <c r="N25" s="18" t="str">
        <f>"LibFilters3"&amp;"-shown-"&amp;VLOOKUP(A25,'LibFilters3 filterPanelIds'!$A$3:$B$999,2) &amp; "-" &amp; IF(AND(B25&lt;&gt;"",B25&lt;&gt;"nil"),B25,"")</f>
        <v>LibFilters3-shown-5-</v>
      </c>
      <c r="O25" s="18" t="str">
        <f>"LibFilters3"&amp;"-hidden-"&amp;VLOOKUP(A25,'LibFilters3 filterPanelIds'!$A$3:$B$999,2) &amp; "-" &amp; IF(AND(B25&lt;&gt;"",B25&lt;&gt;"nil"),B25,"")</f>
        <v>LibFilters3-hidden-5-</v>
      </c>
      <c r="P25" s="9" t="s">
        <v>89</v>
      </c>
      <c r="Q25" s="14"/>
    </row>
    <row r="26" spans="1:17" s="13" customFormat="1" ht="50.1" hidden="1" customHeight="1" x14ac:dyDescent="0.25">
      <c r="A26" s="16" t="s">
        <v>43</v>
      </c>
      <c r="B26" s="16"/>
      <c r="C26" s="14" t="str">
        <f>VLOOKUP(A26,'LibFilters3 filterPanelIds'!$A$3:$C$1000,3,FALSE)</f>
        <v>Guildbank Deposit</v>
      </c>
      <c r="D26" s="19" t="s">
        <v>87</v>
      </c>
      <c r="E26" s="28"/>
      <c r="F26" s="33"/>
      <c r="G26" s="35"/>
      <c r="H26" s="31"/>
      <c r="I26" s="24"/>
      <c r="J26" s="41" t="s">
        <v>100</v>
      </c>
      <c r="K26" s="25" t="s">
        <v>90</v>
      </c>
      <c r="L26" s="26" t="s">
        <v>89</v>
      </c>
      <c r="M26" s="23" t="s">
        <v>89</v>
      </c>
      <c r="N26" s="18" t="str">
        <f>"LibFilters3"&amp;"-shown-"&amp;VLOOKUP(A26,'LibFilters3 filterPanelIds'!$A$3:$B$999,2) &amp; "-" &amp; IF(AND(B26&lt;&gt;"",B26&lt;&gt;"nil"),B26,"")</f>
        <v>LibFilters3-shown-5-</v>
      </c>
      <c r="O26" s="18" t="str">
        <f>"LibFilters3"&amp;"-hidden-"&amp;VLOOKUP(A26,'LibFilters3 filterPanelIds'!$A$3:$B$999,2) &amp; "-" &amp; IF(AND(B26&lt;&gt;"",B26&lt;&gt;"nil"),B26,"")</f>
        <v>LibFilters3-hidden-5-</v>
      </c>
      <c r="P26" s="9" t="s">
        <v>89</v>
      </c>
      <c r="Q26" s="14"/>
    </row>
    <row r="27" spans="1:17" s="13" customFormat="1" ht="50.1" customHeight="1" x14ac:dyDescent="0.25">
      <c r="A27" s="16" t="s">
        <v>42</v>
      </c>
      <c r="B27" s="16"/>
      <c r="C27" s="14" t="str">
        <f>VLOOKUP(A27,'LibFilters3 filterPanelIds'!$A$3:$C$1000,3,FALSE)</f>
        <v>Guildbank Withdraw</v>
      </c>
      <c r="D27" s="17" t="s">
        <v>88</v>
      </c>
      <c r="E27" s="50" t="s">
        <v>89</v>
      </c>
      <c r="F27" s="32" t="s">
        <v>229</v>
      </c>
      <c r="G27" s="32" t="s">
        <v>231</v>
      </c>
      <c r="H27" s="32" t="s">
        <v>230</v>
      </c>
      <c r="I27" s="24"/>
      <c r="J27" s="42" t="s">
        <v>161</v>
      </c>
      <c r="K27" s="25" t="s">
        <v>98</v>
      </c>
      <c r="L27" s="26" t="s">
        <v>89</v>
      </c>
      <c r="M27" s="23" t="s">
        <v>89</v>
      </c>
      <c r="N27" s="18" t="str">
        <f>"LibFilters3"&amp;"-shown-"&amp;VLOOKUP(A27,'LibFilters3 filterPanelIds'!$A$3:$B$999,2) &amp; "-" &amp; IF(AND(B27&lt;&gt;"",B27&lt;&gt;"nil"),B27,"")</f>
        <v>LibFilters3-shown-4-</v>
      </c>
      <c r="O27" s="18" t="str">
        <f>"LibFilters3"&amp;"-hidden-"&amp;VLOOKUP(A27,'LibFilters3 filterPanelIds'!$A$3:$B$999,2) &amp; "-" &amp; IF(AND(B27&lt;&gt;"",B27&lt;&gt;"nil"),B27,"")</f>
        <v>LibFilters3-hidden-4-</v>
      </c>
      <c r="P27" s="9" t="s">
        <v>89</v>
      </c>
      <c r="Q27" s="14" t="s">
        <v>172</v>
      </c>
    </row>
    <row r="28" spans="1:17" s="13" customFormat="1" ht="50.1" hidden="1" customHeight="1" x14ac:dyDescent="0.25">
      <c r="A28" s="16" t="s">
        <v>42</v>
      </c>
      <c r="B28" s="16"/>
      <c r="C28" s="14" t="str">
        <f>VLOOKUP(A28,'LibFilters3 filterPanelIds'!$A$3:$C$1000,3,FALSE)</f>
        <v>Guildbank Withdraw</v>
      </c>
      <c r="D28" s="19" t="s">
        <v>87</v>
      </c>
      <c r="E28" s="28"/>
      <c r="F28" s="33"/>
      <c r="G28" s="35"/>
      <c r="H28" s="31"/>
      <c r="I28" s="24"/>
      <c r="J28" s="42" t="s">
        <v>161</v>
      </c>
      <c r="K28" s="25" t="s">
        <v>98</v>
      </c>
      <c r="L28" s="26" t="s">
        <v>89</v>
      </c>
      <c r="M28" s="23" t="s">
        <v>89</v>
      </c>
      <c r="N28" s="18" t="str">
        <f>"LibFilters3"&amp;"-shown-"&amp;VLOOKUP(A28,'LibFilters3 filterPanelIds'!$A$3:$B$999,2) &amp; "-" &amp; IF(AND(B28&lt;&gt;"",B28&lt;&gt;"nil"),B28,"")</f>
        <v>LibFilters3-shown-4-</v>
      </c>
      <c r="O28" s="18" t="str">
        <f>"LibFilters3"&amp;"-hidden-"&amp;VLOOKUP(A28,'LibFilters3 filterPanelIds'!$A$3:$B$999,2) &amp; "-" &amp; IF(AND(B28&lt;&gt;"",B28&lt;&gt;"nil"),B28,"")</f>
        <v>LibFilters3-hidden-4-</v>
      </c>
      <c r="P28" s="9" t="s">
        <v>89</v>
      </c>
      <c r="Q28" s="14"/>
    </row>
    <row r="29" spans="1:17" s="13" customFormat="1" ht="50.1" customHeight="1" x14ac:dyDescent="0.25">
      <c r="A29" s="20" t="s">
        <v>48</v>
      </c>
      <c r="B29" s="20"/>
      <c r="C29" s="14" t="str">
        <f>VLOOKUP(A29,'LibFilters3 filterPanelIds'!$A$3:$C$1000,3,FALSE)</f>
        <v>Guildstore / Tradinghouse Search</v>
      </c>
      <c r="D29" s="21" t="s">
        <v>85</v>
      </c>
      <c r="E29" s="28"/>
      <c r="F29" s="33"/>
      <c r="G29" s="36" t="s">
        <v>6</v>
      </c>
      <c r="H29" s="31"/>
      <c r="I29" s="24"/>
      <c r="J29" s="44"/>
      <c r="K29" s="25"/>
      <c r="L29" s="26"/>
      <c r="M29" s="50"/>
      <c r="N29" s="18" t="str">
        <f>"LibFilters3"&amp;"-shown-"&amp;VLOOKUP(A29,'LibFilters3 filterPanelIds'!$A$3:$B$999,2) &amp; "-" &amp; IF(AND(B29&lt;&gt;"",B29&lt;&gt;"nil"),B29,"")</f>
        <v>LibFilters3-shown-10-</v>
      </c>
      <c r="O29" s="18" t="str">
        <f>"LibFilters3"&amp;"-hidden-"&amp;VLOOKUP(A29,'LibFilters3 filterPanelIds'!$A$3:$B$999,2) &amp; "-" &amp; IF(AND(B29&lt;&gt;"",B29&lt;&gt;"nil"),B29,"")</f>
        <v>LibFilters3-hidden-10-</v>
      </c>
      <c r="P29" s="9" t="s">
        <v>89</v>
      </c>
      <c r="Q29" s="14"/>
    </row>
    <row r="30" spans="1:17" s="13" customFormat="1" ht="50.1" customHeight="1" x14ac:dyDescent="0.25">
      <c r="A30" s="16" t="s">
        <v>49</v>
      </c>
      <c r="B30" s="16"/>
      <c r="C30" s="14" t="str">
        <f>VLOOKUP(A30,'LibFilters3 filterPanelIds'!$A$3:$C$1000,3,FALSE)</f>
        <v>Guildstore / Tradinghouse Sell</v>
      </c>
      <c r="D30" s="17" t="s">
        <v>88</v>
      </c>
      <c r="E30" s="50" t="s">
        <v>89</v>
      </c>
      <c r="F30" s="32" t="s">
        <v>229</v>
      </c>
      <c r="G30" s="32" t="s">
        <v>231</v>
      </c>
      <c r="H30" s="32" t="s">
        <v>230</v>
      </c>
      <c r="I30" s="24"/>
      <c r="J30" s="40" t="s">
        <v>152</v>
      </c>
      <c r="K30" s="25" t="s">
        <v>148</v>
      </c>
      <c r="L30" s="26"/>
      <c r="M30" s="23" t="s">
        <v>89</v>
      </c>
      <c r="N30" s="18" t="str">
        <f>"LibFilters3"&amp;"-shown-"&amp;VLOOKUP(A30,'LibFilters3 filterPanelIds'!$A$3:$B$999,2) &amp; "-" &amp; IF(AND(B30&lt;&gt;"",B30&lt;&gt;"nil"),B30,"")</f>
        <v>LibFilters3-shown-11-</v>
      </c>
      <c r="O30" s="18" t="str">
        <f>"LibFilters3"&amp;"-hidden-"&amp;VLOOKUP(A30,'LibFilters3 filterPanelIds'!$A$3:$B$999,2) &amp; "-" &amp; IF(AND(B30&lt;&gt;"",B30&lt;&gt;"nil"),B30,"")</f>
        <v>LibFilters3-hidden-11-</v>
      </c>
      <c r="P30" s="9" t="s">
        <v>89</v>
      </c>
      <c r="Q30" s="14"/>
    </row>
    <row r="31" spans="1:17" s="13" customFormat="1" ht="50.1" hidden="1" customHeight="1" x14ac:dyDescent="0.25">
      <c r="A31" s="16" t="s">
        <v>49</v>
      </c>
      <c r="B31" s="16"/>
      <c r="C31" s="14" t="str">
        <f>VLOOKUP(A31,'LibFilters3 filterPanelIds'!$A$3:$C$1000,3,FALSE)</f>
        <v>Guildstore / Tradinghouse Sell</v>
      </c>
      <c r="D31" s="19" t="s">
        <v>87</v>
      </c>
      <c r="E31" s="28"/>
      <c r="F31" s="33"/>
      <c r="G31" s="35"/>
      <c r="H31" s="31"/>
      <c r="I31" s="24"/>
      <c r="J31" s="41" t="s">
        <v>116</v>
      </c>
      <c r="K31" s="25" t="s">
        <v>90</v>
      </c>
      <c r="L31" s="26" t="s">
        <v>89</v>
      </c>
      <c r="M31" s="23" t="s">
        <v>89</v>
      </c>
      <c r="N31" s="18" t="str">
        <f>"LibFilters3"&amp;"-shown-"&amp;VLOOKUP(A31,'LibFilters3 filterPanelIds'!$A$3:$B$999,2) &amp; "-" &amp; IF(AND(B31&lt;&gt;"",B31&lt;&gt;"nil"),B31,"")</f>
        <v>LibFilters3-shown-11-</v>
      </c>
      <c r="O31" s="18" t="str">
        <f>"LibFilters3"&amp;"-hidden-"&amp;VLOOKUP(A31,'LibFilters3 filterPanelIds'!$A$3:$B$999,2) &amp; "-" &amp; IF(AND(B31&lt;&gt;"",B31&lt;&gt;"nil"),B31,"")</f>
        <v>LibFilters3-hidden-11-</v>
      </c>
      <c r="P31" s="9" t="s">
        <v>89</v>
      </c>
      <c r="Q31" s="14"/>
    </row>
    <row r="32" spans="1:17" s="13" customFormat="1" ht="50.1" customHeight="1" x14ac:dyDescent="0.25">
      <c r="A32" s="16" t="s">
        <v>57</v>
      </c>
      <c r="B32" s="16"/>
      <c r="C32" s="14" t="str">
        <f>VLOOKUP(A32,'LibFilters3 filterPanelIds'!$A$3:$C$1000,3,FALSE)</f>
        <v>House bank 1 to 10 Deposit</v>
      </c>
      <c r="D32" s="17" t="s">
        <v>88</v>
      </c>
      <c r="E32" s="50" t="s">
        <v>89</v>
      </c>
      <c r="F32" s="32" t="s">
        <v>229</v>
      </c>
      <c r="G32" s="32" t="s">
        <v>231</v>
      </c>
      <c r="H32" s="32" t="s">
        <v>230</v>
      </c>
      <c r="I32" s="24"/>
      <c r="J32" s="40" t="s">
        <v>153</v>
      </c>
      <c r="K32" s="25" t="s">
        <v>148</v>
      </c>
      <c r="L32" s="26"/>
      <c r="M32" s="23" t="s">
        <v>89</v>
      </c>
      <c r="N32" s="18" t="str">
        <f>"LibFilters3"&amp;"-shown-"&amp;VLOOKUP(A32,'LibFilters3 filterPanelIds'!$A$3:$B$999,2) &amp; "-" &amp; IF(AND(B32&lt;&gt;"",B32&lt;&gt;"nil"),B32,"")</f>
        <v>LibFilters3-shown-30-</v>
      </c>
      <c r="O32" s="18" t="str">
        <f>"LibFilters3"&amp;"-hidden-"&amp;VLOOKUP(A32,'LibFilters3 filterPanelIds'!$A$3:$B$999,2) &amp; "-" &amp; IF(AND(B32&lt;&gt;"",B32&lt;&gt;"nil"),B32,"")</f>
        <v>LibFilters3-hidden-30-</v>
      </c>
      <c r="P32" s="9" t="s">
        <v>89</v>
      </c>
      <c r="Q32" s="14"/>
    </row>
    <row r="33" spans="1:17" s="13" customFormat="1" ht="50.1" hidden="1" customHeight="1" x14ac:dyDescent="0.25">
      <c r="A33" s="16" t="s">
        <v>57</v>
      </c>
      <c r="B33" s="16"/>
      <c r="C33" s="14" t="str">
        <f>VLOOKUP(A33,'LibFilters3 filterPanelIds'!$A$3:$C$1000,3,FALSE)</f>
        <v>House bank 1 to 10 Deposit</v>
      </c>
      <c r="D33" s="19" t="s">
        <v>87</v>
      </c>
      <c r="E33" s="28"/>
      <c r="F33" s="33"/>
      <c r="G33" s="35"/>
      <c r="H33" s="31"/>
      <c r="I33" s="24"/>
      <c r="J33" s="41" t="s">
        <v>106</v>
      </c>
      <c r="K33" s="25" t="s">
        <v>90</v>
      </c>
      <c r="L33" s="26" t="s">
        <v>89</v>
      </c>
      <c r="M33" s="23" t="s">
        <v>89</v>
      </c>
      <c r="N33" s="18" t="str">
        <f>"LibFilters3"&amp;"-shown-"&amp;VLOOKUP(A33,'LibFilters3 filterPanelIds'!$A$3:$B$999,2) &amp; "-" &amp; IF(AND(B33&lt;&gt;"",B33&lt;&gt;"nil"),B33,"")</f>
        <v>LibFilters3-shown-30-</v>
      </c>
      <c r="O33" s="18" t="str">
        <f>"LibFilters3"&amp;"-hidden-"&amp;VLOOKUP(A33,'LibFilters3 filterPanelIds'!$A$3:$B$999,2) &amp; "-" &amp; IF(AND(B33&lt;&gt;"",B33&lt;&gt;"nil"),B33,"")</f>
        <v>LibFilters3-hidden-30-</v>
      </c>
      <c r="P33" s="9" t="s">
        <v>89</v>
      </c>
      <c r="Q33" s="14"/>
    </row>
    <row r="34" spans="1:17" s="13" customFormat="1" ht="50.1" customHeight="1" x14ac:dyDescent="0.25">
      <c r="A34" s="16" t="s">
        <v>56</v>
      </c>
      <c r="B34" s="16"/>
      <c r="C34" s="14" t="str">
        <f>VLOOKUP(A34,'LibFilters3 filterPanelIds'!$A$3:$C$1000,3,FALSE)</f>
        <v>House bank 1 to 10 Withdraw</v>
      </c>
      <c r="D34" s="17" t="s">
        <v>88</v>
      </c>
      <c r="E34" s="50" t="s">
        <v>89</v>
      </c>
      <c r="F34" s="32" t="s">
        <v>229</v>
      </c>
      <c r="G34" s="32" t="s">
        <v>231</v>
      </c>
      <c r="H34" s="32" t="s">
        <v>230</v>
      </c>
      <c r="I34" s="24"/>
      <c r="J34" s="42" t="s">
        <v>162</v>
      </c>
      <c r="K34" s="25" t="s">
        <v>98</v>
      </c>
      <c r="L34" s="26" t="s">
        <v>89</v>
      </c>
      <c r="M34" s="23" t="s">
        <v>89</v>
      </c>
      <c r="N34" s="18" t="str">
        <f>"LibFilters3"&amp;"-shown-"&amp;VLOOKUP(A34,'LibFilters3 filterPanelIds'!$A$3:$B$999,2) &amp; "-" &amp; IF(AND(B34&lt;&gt;"",B34&lt;&gt;"nil"),B34,"")</f>
        <v>LibFilters3-shown-29-</v>
      </c>
      <c r="O34" s="18" t="str">
        <f>"LibFilters3"&amp;"-hidden-"&amp;VLOOKUP(A34,'LibFilters3 filterPanelIds'!$A$3:$B$999,2) &amp; "-" &amp; IF(AND(B34&lt;&gt;"",B34&lt;&gt;"nil"),B34,"")</f>
        <v>LibFilters3-hidden-29-</v>
      </c>
      <c r="P34" s="9" t="s">
        <v>89</v>
      </c>
      <c r="Q34" s="14"/>
    </row>
    <row r="35" spans="1:17" s="13" customFormat="1" ht="50.1" hidden="1" customHeight="1" x14ac:dyDescent="0.25">
      <c r="A35" s="16" t="s">
        <v>56</v>
      </c>
      <c r="B35" s="16"/>
      <c r="C35" s="14" t="str">
        <f>VLOOKUP(A35,'LibFilters3 filterPanelIds'!$A$3:$C$1000,3,FALSE)</f>
        <v>House bank 1 to 10 Withdraw</v>
      </c>
      <c r="D35" s="19" t="s">
        <v>87</v>
      </c>
      <c r="E35" s="28"/>
      <c r="F35" s="33"/>
      <c r="G35" s="35"/>
      <c r="H35" s="31"/>
      <c r="I35" s="24"/>
      <c r="J35" s="42" t="s">
        <v>162</v>
      </c>
      <c r="K35" s="25" t="s">
        <v>98</v>
      </c>
      <c r="L35" s="26" t="s">
        <v>89</v>
      </c>
      <c r="M35" s="23" t="s">
        <v>89</v>
      </c>
      <c r="N35" s="18" t="str">
        <f>"LibFilters3"&amp;"-shown-"&amp;VLOOKUP(A35,'LibFilters3 filterPanelIds'!$A$3:$B$999,2) &amp; "-" &amp; IF(AND(B35&lt;&gt;"",B35&lt;&gt;"nil"),B35,"")</f>
        <v>LibFilters3-shown-29-</v>
      </c>
      <c r="O35" s="18" t="str">
        <f>"LibFilters3"&amp;"-hidden-"&amp;VLOOKUP(A35,'LibFilters3 filterPanelIds'!$A$3:$B$999,2) &amp; "-" &amp; IF(AND(B35&lt;&gt;"",B35&lt;&gt;"nil"),B35,"")</f>
        <v>LibFilters3-hidden-29-</v>
      </c>
      <c r="P35" s="9" t="s">
        <v>89</v>
      </c>
      <c r="Q35" s="14" t="s">
        <v>172</v>
      </c>
    </row>
    <row r="36" spans="1:17" s="13" customFormat="1" ht="50.1" customHeight="1" x14ac:dyDescent="0.25">
      <c r="A36" s="16" t="s">
        <v>38</v>
      </c>
      <c r="B36" s="16"/>
      <c r="C36" s="14" t="str">
        <f>VLOOKUP(A36,'LibFilters3 filterPanelIds'!$A$3:$C$1000,3,FALSE)</f>
        <v>Player inventory</v>
      </c>
      <c r="D36" s="17" t="s">
        <v>88</v>
      </c>
      <c r="E36" s="50" t="s">
        <v>89</v>
      </c>
      <c r="F36" s="32" t="s">
        <v>226</v>
      </c>
      <c r="G36" s="32" t="s">
        <v>225</v>
      </c>
      <c r="H36" s="32" t="s">
        <v>227</v>
      </c>
      <c r="I36" s="24"/>
      <c r="J36" s="40" t="s">
        <v>154</v>
      </c>
      <c r="K36" s="25" t="s">
        <v>148</v>
      </c>
      <c r="L36" s="26"/>
      <c r="M36" s="23" t="s">
        <v>89</v>
      </c>
      <c r="N36" s="18" t="str">
        <f>"LibFilters3"&amp;"-shown-"&amp;VLOOKUP(A36,'LibFilters3 filterPanelIds'!$A$3:$B$999,2) &amp; "-" &amp; IF(AND(B36&lt;&gt;"",B36&lt;&gt;"nil"),B36,"")</f>
        <v>LibFilters3-shown-1-</v>
      </c>
      <c r="O36" s="18" t="str">
        <f>"LibFilters3"&amp;"-hidden-"&amp;VLOOKUP(A36,'LibFilters3 filterPanelIds'!$A$3:$B$999,2) &amp; "-" &amp; IF(AND(B36&lt;&gt;"",B36&lt;&gt;"nil"),B36,"")</f>
        <v>LibFilters3-hidden-1-</v>
      </c>
      <c r="P36" s="9" t="s">
        <v>89</v>
      </c>
      <c r="Q36" s="14"/>
    </row>
    <row r="37" spans="1:17" s="13" customFormat="1" ht="50.1" hidden="1" customHeight="1" x14ac:dyDescent="0.25">
      <c r="A37" s="16" t="s">
        <v>38</v>
      </c>
      <c r="B37" s="16"/>
      <c r="C37" s="14" t="str">
        <f>VLOOKUP(A37,'LibFilters3 filterPanelIds'!$A$3:$C$1000,3,FALSE)</f>
        <v>Player inventory</v>
      </c>
      <c r="D37" s="19" t="s">
        <v>87</v>
      </c>
      <c r="E37" s="28"/>
      <c r="F37" s="33"/>
      <c r="G37" s="34" t="s">
        <v>245</v>
      </c>
      <c r="H37" s="31"/>
      <c r="I37" s="24" t="s">
        <v>89</v>
      </c>
      <c r="J37" s="41" t="s">
        <v>92</v>
      </c>
      <c r="K37" s="25" t="s">
        <v>90</v>
      </c>
      <c r="L37" s="26" t="s">
        <v>89</v>
      </c>
      <c r="M37" s="23" t="s">
        <v>89</v>
      </c>
      <c r="N37" s="18" t="str">
        <f>"LibFilters3"&amp;"-shown-"&amp;VLOOKUP(A37,'LibFilters3 filterPanelIds'!$A$3:$B$999,2) &amp; "-" &amp; IF(AND(B37&lt;&gt;"",B37&lt;&gt;"nil"),B37,"")</f>
        <v>LibFilters3-shown-1-</v>
      </c>
      <c r="O37" s="18" t="str">
        <f>"LibFilters3"&amp;"-hidden-"&amp;VLOOKUP(A37,'LibFilters3 filterPanelIds'!$A$3:$B$999,2) &amp; "-" &amp; IF(AND(B37&lt;&gt;"",B37&lt;&gt;"nil"),B37,"")</f>
        <v>LibFilters3-hidden-1-</v>
      </c>
      <c r="P37" s="9" t="s">
        <v>89</v>
      </c>
      <c r="Q37" s="14" t="s">
        <v>91</v>
      </c>
    </row>
    <row r="38" spans="1:17" s="13" customFormat="1" ht="50.1" customHeight="1" x14ac:dyDescent="0.25">
      <c r="A38" s="16" t="s">
        <v>59</v>
      </c>
      <c r="B38" s="16"/>
      <c r="C38" s="14" t="str">
        <f>VLOOKUP(A38,'LibFilters3 filterPanelIds'!$A$3:$C$1000,3,FALSE)</f>
        <v>Companion inventory (Equipment)</v>
      </c>
      <c r="D38" s="17" t="s">
        <v>88</v>
      </c>
      <c r="E38" s="50" t="s">
        <v>89</v>
      </c>
      <c r="F38" s="32" t="s">
        <v>224</v>
      </c>
      <c r="G38" s="32" t="s">
        <v>225</v>
      </c>
      <c r="H38" s="32" t="s">
        <v>126</v>
      </c>
      <c r="I38" s="24"/>
      <c r="J38" s="43" t="s">
        <v>126</v>
      </c>
      <c r="K38" s="25" t="s">
        <v>97</v>
      </c>
      <c r="L38" s="26" t="s">
        <v>89</v>
      </c>
      <c r="M38" s="23" t="s">
        <v>89</v>
      </c>
      <c r="N38" s="18" t="str">
        <f>"LibFilters3"&amp;"-shown-"&amp;VLOOKUP(A38,'LibFilters3 filterPanelIds'!$A$3:$B$999,2) &amp; "-" &amp; IF(AND(B38&lt;&gt;"",B38&lt;&gt;"nil"),B38,"")</f>
        <v>LibFilters3-shown-39-</v>
      </c>
      <c r="O38" s="18" t="str">
        <f>"LibFilters3"&amp;"-hidden-"&amp;VLOOKUP(A38,'LibFilters3 filterPanelIds'!$A$3:$B$999,2) &amp; "-" &amp; IF(AND(B38&lt;&gt;"",B38&lt;&gt;"nil"),B38,"")</f>
        <v>LibFilters3-hidden-39-</v>
      </c>
      <c r="P38" s="9" t="s">
        <v>89</v>
      </c>
      <c r="Q38" s="14"/>
    </row>
    <row r="39" spans="1:17" s="13" customFormat="1" ht="50.1" hidden="1" customHeight="1" x14ac:dyDescent="0.25">
      <c r="A39" s="16" t="s">
        <v>59</v>
      </c>
      <c r="B39" s="16"/>
      <c r="C39" s="14" t="str">
        <f>VLOOKUP(A39,'LibFilters3 filterPanelIds'!$A$3:$C$1000,3,FALSE)</f>
        <v>Companion inventory (Equipment)</v>
      </c>
      <c r="D39" s="19" t="s">
        <v>87</v>
      </c>
      <c r="E39" s="28"/>
      <c r="F39" s="33"/>
      <c r="G39" s="34" t="s">
        <v>245</v>
      </c>
      <c r="H39" s="31"/>
      <c r="I39" s="24" t="s">
        <v>89</v>
      </c>
      <c r="J39" s="44" t="s">
        <v>96</v>
      </c>
      <c r="K39" s="25" t="s">
        <v>97</v>
      </c>
      <c r="L39" s="26" t="s">
        <v>89</v>
      </c>
      <c r="M39" s="23" t="s">
        <v>89</v>
      </c>
      <c r="N39" s="18" t="str">
        <f>"LibFilters3"&amp;"-shown-"&amp;VLOOKUP(A39,'LibFilters3 filterPanelIds'!$A$3:$B$999,2) &amp; "-" &amp; IF(AND(B39&lt;&gt;"",B39&lt;&gt;"nil"),B39,"")</f>
        <v>LibFilters3-shown-39-</v>
      </c>
      <c r="O39" s="18" t="str">
        <f>"LibFilters3"&amp;"-hidden-"&amp;VLOOKUP(A39,'LibFilters3 filterPanelIds'!$A$3:$B$999,2) &amp; "-" &amp; IF(AND(B39&lt;&gt;"",B39&lt;&gt;"nil"),B39,"")</f>
        <v>LibFilters3-hidden-39-</v>
      </c>
      <c r="P39" s="9" t="s">
        <v>89</v>
      </c>
      <c r="Q39" s="14"/>
    </row>
    <row r="40" spans="1:17" s="13" customFormat="1" ht="50.1" customHeight="1" x14ac:dyDescent="0.25">
      <c r="A40" s="16" t="s">
        <v>58</v>
      </c>
      <c r="B40" s="16"/>
      <c r="C40" s="14" t="str">
        <f>VLOOKUP(A40,'LibFilters3 filterPanelIds'!$A$3:$C$1000,3,FALSE)</f>
        <v>Inventory quest items</v>
      </c>
      <c r="D40" s="17" t="s">
        <v>88</v>
      </c>
      <c r="E40" s="50" t="s">
        <v>89</v>
      </c>
      <c r="F40" s="32" t="s">
        <v>226</v>
      </c>
      <c r="G40" s="32" t="s">
        <v>228</v>
      </c>
      <c r="H40" s="32" t="s">
        <v>227</v>
      </c>
      <c r="I40" s="24"/>
      <c r="J40" s="40" t="s">
        <v>155</v>
      </c>
      <c r="K40" s="27" t="s">
        <v>148</v>
      </c>
      <c r="L40" s="26"/>
      <c r="M40" s="23" t="s">
        <v>89</v>
      </c>
      <c r="N40" s="18" t="str">
        <f>"LibFilters3"&amp;"-shown-"&amp;VLOOKUP(A40,'LibFilters3 filterPanelIds'!$A$3:$B$999,2) &amp; "-" &amp; IF(AND(B40&lt;&gt;"",B40&lt;&gt;"nil"),B40,"")</f>
        <v>LibFilters3-shown-38-</v>
      </c>
      <c r="O40" s="18" t="str">
        <f>"LibFilters3"&amp;"-hidden-"&amp;VLOOKUP(A40,'LibFilters3 filterPanelIds'!$A$3:$B$999,2) &amp; "-" &amp; IF(AND(B40&lt;&gt;"",B40&lt;&gt;"nil"),B40,"")</f>
        <v>LibFilters3-hidden-38-</v>
      </c>
      <c r="P40" s="9" t="s">
        <v>89</v>
      </c>
      <c r="Q40" s="14"/>
    </row>
    <row r="41" spans="1:17" s="13" customFormat="1" ht="50.1" hidden="1" customHeight="1" x14ac:dyDescent="0.25">
      <c r="A41" s="16" t="s">
        <v>58</v>
      </c>
      <c r="B41" s="16"/>
      <c r="C41" s="14" t="str">
        <f>VLOOKUP(A41,'LibFilters3 filterPanelIds'!$A$3:$C$1000,3,FALSE)</f>
        <v>Inventory quest items</v>
      </c>
      <c r="D41" s="19" t="s">
        <v>87</v>
      </c>
      <c r="E41" s="28"/>
      <c r="F41" s="33"/>
      <c r="G41" s="34" t="s">
        <v>245</v>
      </c>
      <c r="H41" s="31"/>
      <c r="I41" s="24" t="s">
        <v>89</v>
      </c>
      <c r="J41" s="42" t="s">
        <v>163</v>
      </c>
      <c r="K41" s="25" t="s">
        <v>94</v>
      </c>
      <c r="L41" s="26" t="s">
        <v>89</v>
      </c>
      <c r="M41" s="23" t="s">
        <v>89</v>
      </c>
      <c r="N41" s="18" t="str">
        <f>"LibFilters3"&amp;"-shown-"&amp;VLOOKUP(A41,'LibFilters3 filterPanelIds'!$A$3:$B$999,2) &amp; "-" &amp; IF(AND(B41&lt;&gt;"",B41&lt;&gt;"nil"),B41,"")</f>
        <v>LibFilters3-shown-38-</v>
      </c>
      <c r="O41" s="18" t="str">
        <f>"LibFilters3"&amp;"-hidden-"&amp;VLOOKUP(A41,'LibFilters3 filterPanelIds'!$A$3:$B$999,2) &amp; "-" &amp; IF(AND(B41&lt;&gt;"",B41&lt;&gt;"nil"),B41,"")</f>
        <v>LibFilters3-hidden-38-</v>
      </c>
      <c r="P41" s="9" t="s">
        <v>89</v>
      </c>
      <c r="Q41" s="14"/>
    </row>
    <row r="42" spans="1:17" s="13" customFormat="1" ht="50.1" customHeight="1" x14ac:dyDescent="0.25">
      <c r="A42" s="16" t="s">
        <v>62</v>
      </c>
      <c r="B42" s="16"/>
      <c r="C42" s="14" t="str">
        <f>VLOOKUP(A42,'LibFilters3 filterPanelIds'!$A$3:$C$1000,3,FALSE)</f>
        <v>Cyrodiil Vengeance campaign inventory</v>
      </c>
      <c r="D42" s="17" t="s">
        <v>88</v>
      </c>
      <c r="E42" s="50" t="s">
        <v>89</v>
      </c>
      <c r="F42" s="32" t="s">
        <v>226</v>
      </c>
      <c r="G42" s="32" t="s">
        <v>225</v>
      </c>
      <c r="H42" s="32" t="s">
        <v>227</v>
      </c>
      <c r="I42" s="24"/>
      <c r="J42" s="40" t="s">
        <v>170</v>
      </c>
      <c r="K42" s="27" t="s">
        <v>148</v>
      </c>
      <c r="L42" s="26"/>
      <c r="M42" s="23" t="s">
        <v>89</v>
      </c>
      <c r="N42" s="18" t="str">
        <f>"LibFilters3"&amp;"-shown-"&amp;VLOOKUP(A42,'LibFilters3 filterPanelIds'!$A$3:$B$999,2) &amp; "-" &amp; IF(AND(B42&lt;&gt;"",B42&lt;&gt;"nil"),B42,"")</f>
        <v>LibFilters3-shown-42-</v>
      </c>
      <c r="O42" s="18" t="str">
        <f>"LibFilters3"&amp;"-hidden-"&amp;VLOOKUP(A42,'LibFilters3 filterPanelIds'!$A$3:$B$999,2) &amp; "-" &amp; IF(AND(B42&lt;&gt;"",B42&lt;&gt;"nil"),B42,"")</f>
        <v>LibFilters3-hidden-42-</v>
      </c>
      <c r="P42" s="9" t="s">
        <v>89</v>
      </c>
      <c r="Q42" s="14"/>
    </row>
    <row r="43" spans="1:17" s="13" customFormat="1" ht="50.1" hidden="1" customHeight="1" x14ac:dyDescent="0.25">
      <c r="A43" s="16" t="s">
        <v>62</v>
      </c>
      <c r="B43" s="16"/>
      <c r="C43" s="14" t="str">
        <f>VLOOKUP(A43,'LibFilters3 filterPanelIds'!$A$3:$C$1000,3,FALSE)</f>
        <v>Cyrodiil Vengeance campaign inventory</v>
      </c>
      <c r="D43" s="19" t="s">
        <v>87</v>
      </c>
      <c r="E43" s="28"/>
      <c r="F43" s="33"/>
      <c r="G43" s="34" t="s">
        <v>245</v>
      </c>
      <c r="H43" s="31"/>
      <c r="I43" s="24" t="s">
        <v>89</v>
      </c>
      <c r="J43" s="42" t="s">
        <v>164</v>
      </c>
      <c r="K43" s="25" t="s">
        <v>94</v>
      </c>
      <c r="L43" s="26" t="s">
        <v>89</v>
      </c>
      <c r="M43" s="23" t="s">
        <v>89</v>
      </c>
      <c r="N43" s="18" t="str">
        <f>"LibFilters3"&amp;"-shown-"&amp;VLOOKUP(A43,'LibFilters3 filterPanelIds'!$A$3:$B$999,2) &amp; "-" &amp; IF(AND(B43&lt;&gt;"",B43&lt;&gt;"nil"),B43,"")</f>
        <v>LibFilters3-shown-42-</v>
      </c>
      <c r="O43" s="18" t="str">
        <f>"LibFilters3"&amp;"-hidden-"&amp;VLOOKUP(A43,'LibFilters3 filterPanelIds'!$A$3:$B$999,2) &amp; "-" &amp; IF(AND(B43&lt;&gt;"",B43&lt;&gt;"nil"),B43,"")</f>
        <v>LibFilters3-hidden-42-</v>
      </c>
      <c r="P43" s="9" t="s">
        <v>89</v>
      </c>
      <c r="Q43" s="14"/>
    </row>
    <row r="44" spans="1:17" s="13" customFormat="1" ht="50.1" customHeight="1" x14ac:dyDescent="0.25">
      <c r="A44" s="20" t="s">
        <v>14</v>
      </c>
      <c r="B44" s="20"/>
      <c r="C44" s="14" t="str">
        <f>VLOOKUP(A44,'LibFilters3 filterPanelIds'!$A$3:$C$1000,3,FALSE)</f>
        <v>Jewelry crafting creation</v>
      </c>
      <c r="D44" s="13" t="s">
        <v>85</v>
      </c>
      <c r="E44" s="28"/>
      <c r="F44" s="33"/>
      <c r="G44" s="36" t="s">
        <v>6</v>
      </c>
      <c r="H44" s="31"/>
      <c r="I44" s="24"/>
      <c r="J44" s="45" t="s">
        <v>165</v>
      </c>
      <c r="K44" s="25" t="s">
        <v>97</v>
      </c>
      <c r="L44" s="26" t="s">
        <v>89</v>
      </c>
      <c r="M44" s="50"/>
      <c r="N44" s="18" t="str">
        <f>"LibFilters3"&amp;"-shown-"&amp;VLOOKUP(A44,'LibFilters3 filterPanelIds'!$A$3:$B$999,2) &amp; "-" &amp; IF(AND(B44&lt;&gt;"",B44&lt;&gt;"nil"),B44,"")</f>
        <v>LibFilters3-shown-32-</v>
      </c>
      <c r="O44" s="18" t="str">
        <f>"LibFilters3"&amp;"-hidden-"&amp;VLOOKUP(A44,'LibFilters3 filterPanelIds'!$A$3:$B$999,2) &amp; "-" &amp; IF(AND(B44&lt;&gt;"",B44&lt;&gt;"nil"),B44,"")</f>
        <v>LibFilters3-hidden-32-</v>
      </c>
      <c r="P44" s="9" t="s">
        <v>89</v>
      </c>
      <c r="Q44" s="14" t="s">
        <v>174</v>
      </c>
    </row>
    <row r="45" spans="1:17" s="13" customFormat="1" ht="50.1" customHeight="1" x14ac:dyDescent="0.25">
      <c r="A45" s="16" t="s">
        <v>15</v>
      </c>
      <c r="B45" s="16" t="s">
        <v>206</v>
      </c>
      <c r="C45" s="14" t="str">
        <f>VLOOKUP(A45,'LibFilters3 filterPanelIds'!$A$3:$C$1000,3,FALSE)</f>
        <v>Jewelry crafting deconstruction</v>
      </c>
      <c r="D45" s="17" t="s">
        <v>88</v>
      </c>
      <c r="E45" s="50" t="s">
        <v>89</v>
      </c>
      <c r="F45" s="32" t="s">
        <v>201</v>
      </c>
      <c r="G45" s="32" t="s">
        <v>202</v>
      </c>
      <c r="H45" s="31"/>
      <c r="I45" s="24"/>
      <c r="J45" s="45" t="s">
        <v>166</v>
      </c>
      <c r="K45" s="25" t="s">
        <v>97</v>
      </c>
      <c r="L45" s="26" t="s">
        <v>89</v>
      </c>
      <c r="M45" s="23" t="s">
        <v>89</v>
      </c>
      <c r="N45" s="18" t="str">
        <f>"LibFilters3"&amp;"-shown-"&amp;VLOOKUP(A45,'LibFilters3 filterPanelIds'!$A$3:$B$999,2) &amp; "-" &amp; IF(AND(B45&lt;&gt;"",B45&lt;&gt;"nil"),B45,"")</f>
        <v>LibFilters3-shown-33-</v>
      </c>
      <c r="O45" s="18" t="str">
        <f>"LibFilters3"&amp;"-hidden-"&amp;VLOOKUP(A45,'LibFilters3 filterPanelIds'!$A$3:$B$999,2) &amp; "-" &amp; IF(AND(B45&lt;&gt;"",B45&lt;&gt;"nil"),B45,"")</f>
        <v>LibFilters3-hidden-33-</v>
      </c>
      <c r="P45" s="9" t="s">
        <v>89</v>
      </c>
      <c r="Q45" s="14" t="s">
        <v>174</v>
      </c>
    </row>
    <row r="46" spans="1:17" s="13" customFormat="1" ht="50.1" customHeight="1" x14ac:dyDescent="0.25">
      <c r="A46" s="16" t="s">
        <v>15</v>
      </c>
      <c r="B46" s="16" t="s">
        <v>206</v>
      </c>
      <c r="C46" s="14" t="str">
        <f>VLOOKUP(A46,'LibFilters3 filterPanelIds'!$A$3:$C$1000,3,FALSE)</f>
        <v>Jewelry crafting deconstruction</v>
      </c>
      <c r="D46" s="19" t="s">
        <v>87</v>
      </c>
      <c r="E46" s="50" t="s">
        <v>89</v>
      </c>
      <c r="F46" s="32" t="s">
        <v>201</v>
      </c>
      <c r="G46" s="32" t="s">
        <v>202</v>
      </c>
      <c r="H46" s="31"/>
      <c r="I46" s="24"/>
      <c r="J46" s="45" t="s">
        <v>166</v>
      </c>
      <c r="K46" s="25" t="s">
        <v>97</v>
      </c>
      <c r="L46" s="26" t="s">
        <v>89</v>
      </c>
      <c r="M46" s="23" t="s">
        <v>89</v>
      </c>
      <c r="N46" s="18" t="str">
        <f>"LibFilters3"&amp;"-shown-"&amp;VLOOKUP(A46,'LibFilters3 filterPanelIds'!$A$3:$B$999,2) &amp; "-" &amp; IF(AND(B46&lt;&gt;"",B46&lt;&gt;"nil"),B46,"")</f>
        <v>LibFilters3-shown-33-</v>
      </c>
      <c r="O46" s="18" t="str">
        <f>"LibFilters3"&amp;"-hidden-"&amp;VLOOKUP(A46,'LibFilters3 filterPanelIds'!$A$3:$B$999,2) &amp; "-" &amp; IF(AND(B46&lt;&gt;"",B46&lt;&gt;"nil"),B46,"")</f>
        <v>LibFilters3-hidden-33-</v>
      </c>
      <c r="P46" s="9" t="s">
        <v>89</v>
      </c>
      <c r="Q46" s="14" t="s">
        <v>121</v>
      </c>
    </row>
    <row r="47" spans="1:17" s="13" customFormat="1" ht="50.1" customHeight="1" x14ac:dyDescent="0.25">
      <c r="A47" s="16" t="s">
        <v>15</v>
      </c>
      <c r="B47" s="16" t="s">
        <v>208</v>
      </c>
      <c r="C47" s="14" t="s">
        <v>214</v>
      </c>
      <c r="D47" s="17" t="s">
        <v>88</v>
      </c>
      <c r="E47" s="50" t="s">
        <v>89</v>
      </c>
      <c r="F47" s="32" t="s">
        <v>210</v>
      </c>
      <c r="G47" s="32" t="s">
        <v>212</v>
      </c>
      <c r="H47" s="32" t="s">
        <v>211</v>
      </c>
      <c r="I47" s="24"/>
      <c r="J47" s="45" t="s">
        <v>166</v>
      </c>
      <c r="K47" s="25" t="s">
        <v>97</v>
      </c>
      <c r="L47" s="26" t="s">
        <v>89</v>
      </c>
      <c r="M47" s="23" t="s">
        <v>89</v>
      </c>
      <c r="N47" s="18" t="str">
        <f>"LibFilters3"&amp;"-shown-"&amp;VLOOKUP(A47,'LibFilters3 filterPanelIds'!$A$3:$B$999,2) &amp; "-" &amp; IF(AND(B47&lt;&gt;"",B47&lt;&gt;"nil"),B47,"")</f>
        <v>LibFilters3-shown-33-"jewelry"</v>
      </c>
      <c r="O47" s="18" t="str">
        <f>"LibFilters3"&amp;"-hidden-"&amp;VLOOKUP(A47,'LibFilters3 filterPanelIds'!$A$3:$B$999,2) &amp; "-" &amp; IF(AND(B47&lt;&gt;"",B47&lt;&gt;"nil"),B47,"")</f>
        <v>LibFilters3-hidden-33-"jewelry"</v>
      </c>
      <c r="P47" s="9" t="s">
        <v>89</v>
      </c>
      <c r="Q47" s="14" t="s">
        <v>174</v>
      </c>
    </row>
    <row r="48" spans="1:17" s="13" customFormat="1" ht="50.1" customHeight="1" x14ac:dyDescent="0.25">
      <c r="A48" s="16" t="s">
        <v>15</v>
      </c>
      <c r="B48" s="16" t="s">
        <v>208</v>
      </c>
      <c r="C48" s="14" t="s">
        <v>214</v>
      </c>
      <c r="D48" s="19" t="s">
        <v>87</v>
      </c>
      <c r="E48" s="50" t="s">
        <v>89</v>
      </c>
      <c r="F48" s="32" t="s">
        <v>210</v>
      </c>
      <c r="G48" s="32" t="s">
        <v>212</v>
      </c>
      <c r="H48" s="32" t="s">
        <v>211</v>
      </c>
      <c r="I48" s="24"/>
      <c r="J48" s="45" t="s">
        <v>166</v>
      </c>
      <c r="K48" s="25" t="s">
        <v>97</v>
      </c>
      <c r="L48" s="26" t="s">
        <v>89</v>
      </c>
      <c r="M48" s="23" t="s">
        <v>89</v>
      </c>
      <c r="N48" s="18" t="str">
        <f>"LibFilters3"&amp;"-shown-"&amp;VLOOKUP(A48,'LibFilters3 filterPanelIds'!$A$3:$B$999,2) &amp; "-" &amp; IF(AND(B48&lt;&gt;"",B48&lt;&gt;"nil"),B48,"")</f>
        <v>LibFilters3-shown-33-"jewelry"</v>
      </c>
      <c r="O48" s="18" t="str">
        <f>"LibFilters3"&amp;"-hidden-"&amp;VLOOKUP(A48,'LibFilters3 filterPanelIds'!$A$3:$B$999,2) &amp; "-" &amp; IF(AND(B48&lt;&gt;"",B48&lt;&gt;"nil"),B48,"")</f>
        <v>LibFilters3-hidden-33-"jewelry"</v>
      </c>
      <c r="P48" s="9" t="s">
        <v>89</v>
      </c>
      <c r="Q48" s="14" t="s">
        <v>121</v>
      </c>
    </row>
    <row r="49" spans="1:17" s="13" customFormat="1" ht="50.1" customHeight="1" x14ac:dyDescent="0.25">
      <c r="A49" s="16" t="s">
        <v>16</v>
      </c>
      <c r="B49" s="16"/>
      <c r="C49" s="14" t="str">
        <f>VLOOKUP(A49,'LibFilters3 filterPanelIds'!$A$3:$C$1000,3,FALSE)</f>
        <v>Jewelry crafting improvement</v>
      </c>
      <c r="D49" s="17" t="s">
        <v>88</v>
      </c>
      <c r="E49" s="50" t="s">
        <v>89</v>
      </c>
      <c r="F49" s="32" t="s">
        <v>203</v>
      </c>
      <c r="G49" s="32" t="s">
        <v>204</v>
      </c>
      <c r="H49" s="31"/>
      <c r="I49" s="24"/>
      <c r="J49" s="45" t="s">
        <v>167</v>
      </c>
      <c r="K49" s="25" t="s">
        <v>97</v>
      </c>
      <c r="L49" s="26" t="s">
        <v>89</v>
      </c>
      <c r="M49" s="23" t="s">
        <v>89</v>
      </c>
      <c r="N49" s="18" t="str">
        <f>"LibFilters3"&amp;"-shown-"&amp;VLOOKUP(A49,'LibFilters3 filterPanelIds'!$A$3:$B$999,2) &amp; "-" &amp; IF(AND(B49&lt;&gt;"",B49&lt;&gt;"nil"),B49,"")</f>
        <v>LibFilters3-shown-34-</v>
      </c>
      <c r="O49" s="18" t="str">
        <f>"LibFilters3"&amp;"-hidden-"&amp;VLOOKUP(A49,'LibFilters3 filterPanelIds'!$A$3:$B$999,2) &amp; "-" &amp; IF(AND(B49&lt;&gt;"",B49&lt;&gt;"nil"),B49,"")</f>
        <v>LibFilters3-hidden-34-</v>
      </c>
      <c r="P49" s="9" t="s">
        <v>89</v>
      </c>
      <c r="Q49" s="14" t="s">
        <v>174</v>
      </c>
    </row>
    <row r="50" spans="1:17" s="13" customFormat="1" ht="50.1" customHeight="1" x14ac:dyDescent="0.25">
      <c r="A50" s="16" t="s">
        <v>16</v>
      </c>
      <c r="B50" s="16"/>
      <c r="C50" s="14" t="str">
        <f>VLOOKUP(A50,'LibFilters3 filterPanelIds'!$A$3:$C$1000,3,FALSE)</f>
        <v>Jewelry crafting improvement</v>
      </c>
      <c r="D50" s="19" t="s">
        <v>87</v>
      </c>
      <c r="E50" s="50" t="s">
        <v>89</v>
      </c>
      <c r="F50" s="32" t="s">
        <v>203</v>
      </c>
      <c r="G50" s="32" t="s">
        <v>204</v>
      </c>
      <c r="H50" s="31"/>
      <c r="I50" s="24"/>
      <c r="J50" s="45" t="s">
        <v>167</v>
      </c>
      <c r="K50" s="25" t="s">
        <v>97</v>
      </c>
      <c r="L50" s="26" t="s">
        <v>89</v>
      </c>
      <c r="M50" s="23" t="s">
        <v>89</v>
      </c>
      <c r="N50" s="18" t="str">
        <f>"LibFilters3"&amp;"-shown-"&amp;VLOOKUP(A50,'LibFilters3 filterPanelIds'!$A$3:$B$999,2) &amp; "-" &amp; IF(AND(B50&lt;&gt;"",B50&lt;&gt;"nil"),B50,"")</f>
        <v>LibFilters3-shown-34-</v>
      </c>
      <c r="O50" s="18" t="str">
        <f>"LibFilters3"&amp;"-hidden-"&amp;VLOOKUP(A50,'LibFilters3 filterPanelIds'!$A$3:$B$999,2) &amp; "-" &amp; IF(AND(B50&lt;&gt;"",B50&lt;&gt;"nil"),B50,"")</f>
        <v>LibFilters3-hidden-34-</v>
      </c>
      <c r="P50" s="9" t="s">
        <v>89</v>
      </c>
      <c r="Q50" s="14" t="s">
        <v>121</v>
      </c>
    </row>
    <row r="51" spans="1:17" s="13" customFormat="1" ht="50.1" customHeight="1" x14ac:dyDescent="0.25">
      <c r="A51" s="16" t="s">
        <v>13</v>
      </c>
      <c r="B51" s="16"/>
      <c r="C51" s="14" t="str">
        <f>VLOOKUP(A51,'LibFilters3 filterPanelIds'!$A$3:$C$1000,3,FALSE)</f>
        <v>Jewelry crafting refinement</v>
      </c>
      <c r="D51" s="17" t="s">
        <v>88</v>
      </c>
      <c r="E51" s="50" t="s">
        <v>89</v>
      </c>
      <c r="F51" s="32" t="s">
        <v>201</v>
      </c>
      <c r="G51" s="32" t="s">
        <v>202</v>
      </c>
      <c r="H51" s="31"/>
      <c r="I51" s="24"/>
      <c r="J51" s="45" t="s">
        <v>168</v>
      </c>
      <c r="K51" s="25" t="s">
        <v>97</v>
      </c>
      <c r="L51" s="26" t="s">
        <v>89</v>
      </c>
      <c r="M51" s="23" t="s">
        <v>89</v>
      </c>
      <c r="N51" s="18" t="str">
        <f>"LibFilters3"&amp;"-shown-"&amp;VLOOKUP(A51,'LibFilters3 filterPanelIds'!$A$3:$B$999,2) &amp; "-" &amp; IF(AND(B51&lt;&gt;"",B51&lt;&gt;"nil"),B51,"")</f>
        <v>LibFilters3-shown-31-</v>
      </c>
      <c r="O51" s="18" t="str">
        <f>"LibFilters3"&amp;"-hidden-"&amp;VLOOKUP(A51,'LibFilters3 filterPanelIds'!$A$3:$B$999,2) &amp; "-" &amp; IF(AND(B51&lt;&gt;"",B51&lt;&gt;"nil"),B51,"")</f>
        <v>LibFilters3-hidden-31-</v>
      </c>
      <c r="P51" s="9" t="s">
        <v>89</v>
      </c>
      <c r="Q51" s="14" t="s">
        <v>174</v>
      </c>
    </row>
    <row r="52" spans="1:17" s="13" customFormat="1" ht="50.1" customHeight="1" x14ac:dyDescent="0.25">
      <c r="A52" s="16" t="s">
        <v>13</v>
      </c>
      <c r="B52" s="16"/>
      <c r="C52" s="14" t="str">
        <f>VLOOKUP(A52,'LibFilters3 filterPanelIds'!$A$3:$C$1000,3,FALSE)</f>
        <v>Jewelry crafting refinement</v>
      </c>
      <c r="D52" s="19" t="s">
        <v>87</v>
      </c>
      <c r="E52" s="50" t="s">
        <v>89</v>
      </c>
      <c r="F52" s="32" t="s">
        <v>201</v>
      </c>
      <c r="G52" s="32" t="s">
        <v>202</v>
      </c>
      <c r="H52" s="31"/>
      <c r="I52" s="24"/>
      <c r="J52" s="45" t="s">
        <v>168</v>
      </c>
      <c r="K52" s="25" t="s">
        <v>97</v>
      </c>
      <c r="L52" s="26" t="s">
        <v>89</v>
      </c>
      <c r="M52" s="23" t="s">
        <v>89</v>
      </c>
      <c r="N52" s="18" t="str">
        <f>"LibFilters3"&amp;"-shown-"&amp;VLOOKUP(A52,'LibFilters3 filterPanelIds'!$A$3:$B$999,2) &amp; "-" &amp; IF(AND(B52&lt;&gt;"",B52&lt;&gt;"nil"),B52,"")</f>
        <v>LibFilters3-shown-31-</v>
      </c>
      <c r="O52" s="18" t="str">
        <f>"LibFilters3"&amp;"-hidden-"&amp;VLOOKUP(A52,'LibFilters3 filterPanelIds'!$A$3:$B$999,2) &amp; "-" &amp; IF(AND(B52&lt;&gt;"",B52&lt;&gt;"nil"),B52,"")</f>
        <v>LibFilters3-hidden-31-</v>
      </c>
      <c r="P52" s="9" t="s">
        <v>89</v>
      </c>
      <c r="Q52" s="14" t="s">
        <v>121</v>
      </c>
    </row>
    <row r="53" spans="1:17" s="13" customFormat="1" ht="50.1" customHeight="1" x14ac:dyDescent="0.25">
      <c r="A53" s="16" t="s">
        <v>17</v>
      </c>
      <c r="B53" s="16"/>
      <c r="C53" s="14" t="str">
        <f>VLOOKUP(A53,'LibFilters3 filterPanelIds'!$A$3:$C$1000,3,FALSE)</f>
        <v>Jewelry crafting research trait list</v>
      </c>
      <c r="D53" s="17" t="s">
        <v>88</v>
      </c>
      <c r="E53" s="50" t="s">
        <v>89</v>
      </c>
      <c r="F53" s="32" t="s">
        <v>194</v>
      </c>
      <c r="G53" s="32" t="s">
        <v>196</v>
      </c>
      <c r="H53" s="31" t="s">
        <v>195</v>
      </c>
      <c r="I53" s="24"/>
      <c r="J53" s="46" t="s">
        <v>169</v>
      </c>
      <c r="K53" s="25" t="s">
        <v>97</v>
      </c>
      <c r="L53" s="26" t="s">
        <v>89</v>
      </c>
      <c r="M53" s="23" t="s">
        <v>89</v>
      </c>
      <c r="N53" s="18" t="str">
        <f>"LibFilters3"&amp;"-shown-"&amp;VLOOKUP(A53,'LibFilters3 filterPanelIds'!$A$3:$B$999,2) &amp; "-" &amp; IF(AND(B53&lt;&gt;"",B53&lt;&gt;"nil"),B53,"")</f>
        <v>LibFilters3-shown-35-</v>
      </c>
      <c r="O53" s="18" t="str">
        <f>"LibFilters3"&amp;"-hidden-"&amp;VLOOKUP(A53,'LibFilters3 filterPanelIds'!$A$3:$B$999,2) &amp; "-" &amp; IF(AND(B53&lt;&gt;"",B53&lt;&gt;"nil"),B53,"")</f>
        <v>LibFilters3-hidden-35-</v>
      </c>
      <c r="P53" s="9" t="s">
        <v>89</v>
      </c>
      <c r="Q53" s="14" t="s">
        <v>174</v>
      </c>
    </row>
    <row r="54" spans="1:17" s="13" customFormat="1" ht="50.1" customHeight="1" x14ac:dyDescent="0.25">
      <c r="A54" s="16" t="s">
        <v>17</v>
      </c>
      <c r="B54" s="16"/>
      <c r="C54" s="14" t="str">
        <f>VLOOKUP(A54,'LibFilters3 filterPanelIds'!$A$3:$C$1000,3,FALSE)</f>
        <v>Jewelry crafting research trait list</v>
      </c>
      <c r="D54" s="19" t="s">
        <v>87</v>
      </c>
      <c r="E54" s="50" t="s">
        <v>89</v>
      </c>
      <c r="F54" s="32" t="s">
        <v>194</v>
      </c>
      <c r="G54" s="32" t="s">
        <v>196</v>
      </c>
      <c r="H54" s="31" t="s">
        <v>122</v>
      </c>
      <c r="I54" s="24"/>
      <c r="J54" s="46" t="s">
        <v>169</v>
      </c>
      <c r="K54" s="25" t="s">
        <v>97</v>
      </c>
      <c r="L54" s="26" t="s">
        <v>89</v>
      </c>
      <c r="M54" s="23" t="s">
        <v>89</v>
      </c>
      <c r="N54" s="18" t="str">
        <f>"LibFilters3"&amp;"-shown-"&amp;VLOOKUP(A54,'LibFilters3 filterPanelIds'!$A$3:$B$999,2) &amp; "-" &amp; IF(AND(B54&lt;&gt;"",B54&lt;&gt;"nil"),B54,"")</f>
        <v>LibFilters3-shown-35-</v>
      </c>
      <c r="O54" s="18" t="str">
        <f>"LibFilters3"&amp;"-hidden-"&amp;VLOOKUP(A54,'LibFilters3 filterPanelIds'!$A$3:$B$999,2) &amp; "-" &amp; IF(AND(B54&lt;&gt;"",B54&lt;&gt;"nil"),B54,"")</f>
        <v>LibFilters3-hidden-35-</v>
      </c>
      <c r="P54" s="9" t="s">
        <v>89</v>
      </c>
      <c r="Q54" s="14" t="s">
        <v>121</v>
      </c>
    </row>
    <row r="55" spans="1:17" s="13" customFormat="1" ht="50.1" customHeight="1" x14ac:dyDescent="0.25">
      <c r="A55" s="16" t="s">
        <v>18</v>
      </c>
      <c r="B55" s="16"/>
      <c r="C55" s="14" t="str">
        <f>VLOOKUP(A55,'LibFilters3 filterPanelIds'!$A$3:$C$1000,3,FALSE)</f>
        <v>Jewelry crafting research item selection popup</v>
      </c>
      <c r="D55" s="17" t="s">
        <v>88</v>
      </c>
      <c r="E55" s="50" t="s">
        <v>89</v>
      </c>
      <c r="F55" s="32" t="s">
        <v>194</v>
      </c>
      <c r="G55" s="32" t="s">
        <v>198</v>
      </c>
      <c r="H55" s="37" t="s">
        <v>197</v>
      </c>
      <c r="I55" s="24"/>
      <c r="J55" s="39" t="s">
        <v>145</v>
      </c>
      <c r="K55" s="25" t="s">
        <v>124</v>
      </c>
      <c r="L55" s="26" t="s">
        <v>89</v>
      </c>
      <c r="M55" s="23" t="s">
        <v>89</v>
      </c>
      <c r="N55" s="18" t="str">
        <f>"LibFilters3"&amp;"-shown-"&amp;VLOOKUP(A55,'LibFilters3 filterPanelIds'!$A$3:$B$999,2) &amp; "-" &amp; IF(AND(B55&lt;&gt;"",B55&lt;&gt;"nil"),B55,"")</f>
        <v>LibFilters3-shown-37-</v>
      </c>
      <c r="O55" s="18" t="str">
        <f>"LibFilters3"&amp;"-hidden-"&amp;VLOOKUP(A55,'LibFilters3 filterPanelIds'!$A$3:$B$999,2) &amp; "-" &amp; IF(AND(B55&lt;&gt;"",B55&lt;&gt;"nil"),B55,"")</f>
        <v>LibFilters3-hidden-37-</v>
      </c>
      <c r="P55" s="9" t="s">
        <v>89</v>
      </c>
      <c r="Q55" s="14" t="s">
        <v>121</v>
      </c>
    </row>
    <row r="56" spans="1:17" s="13" customFormat="1" ht="50.1" customHeight="1" x14ac:dyDescent="0.25">
      <c r="A56" s="16" t="s">
        <v>18</v>
      </c>
      <c r="B56" s="16"/>
      <c r="C56" s="14" t="str">
        <f>VLOOKUP(A56,'LibFilters3 filterPanelIds'!$A$3:$C$1000,3,FALSE)</f>
        <v>Jewelry crafting research item selection popup</v>
      </c>
      <c r="D56" s="19" t="s">
        <v>87</v>
      </c>
      <c r="E56" s="50" t="s">
        <v>89</v>
      </c>
      <c r="F56" s="32" t="s">
        <v>194</v>
      </c>
      <c r="G56" s="32" t="s">
        <v>198</v>
      </c>
      <c r="H56" s="37" t="s">
        <v>197</v>
      </c>
      <c r="I56" s="24"/>
      <c r="J56" s="43" t="s">
        <v>119</v>
      </c>
      <c r="K56" s="25" t="s">
        <v>97</v>
      </c>
      <c r="L56" s="26" t="s">
        <v>89</v>
      </c>
      <c r="M56" s="23" t="s">
        <v>89</v>
      </c>
      <c r="N56" s="18" t="str">
        <f>"LibFilters3"&amp;"-shown-"&amp;VLOOKUP(A56,'LibFilters3 filterPanelIds'!$A$3:$B$999,2) &amp; "-" &amp; IF(AND(B56&lt;&gt;"",B56&lt;&gt;"nil"),B56,"")</f>
        <v>LibFilters3-shown-37-</v>
      </c>
      <c r="O56" s="18" t="str">
        <f>"LibFilters3"&amp;"-hidden-"&amp;VLOOKUP(A56,'LibFilters3 filterPanelIds'!$A$3:$B$999,2) &amp; "-" &amp; IF(AND(B56&lt;&gt;"",B56&lt;&gt;"nil"),B56,"")</f>
        <v>LibFilters3-hidden-37-</v>
      </c>
      <c r="P56" s="9" t="s">
        <v>89</v>
      </c>
      <c r="Q56" s="14" t="s">
        <v>121</v>
      </c>
    </row>
    <row r="57" spans="1:17" s="13" customFormat="1" ht="50.1" customHeight="1" x14ac:dyDescent="0.25">
      <c r="A57" s="16" t="s">
        <v>50</v>
      </c>
      <c r="B57" s="16"/>
      <c r="C57" s="14" t="str">
        <f>VLOOKUP(A57,'LibFilters3 filterPanelIds'!$A$3:$C$1000,3,FALSE)</f>
        <v>Mail send</v>
      </c>
      <c r="D57" s="17" t="s">
        <v>88</v>
      </c>
      <c r="E57" s="50" t="s">
        <v>89</v>
      </c>
      <c r="F57" s="32" t="s">
        <v>229</v>
      </c>
      <c r="G57" s="32" t="s">
        <v>231</v>
      </c>
      <c r="H57" s="32" t="s">
        <v>230</v>
      </c>
      <c r="I57" s="24"/>
      <c r="J57" s="40" t="s">
        <v>156</v>
      </c>
      <c r="K57" s="27" t="s">
        <v>148</v>
      </c>
      <c r="L57" s="26"/>
      <c r="M57" s="23" t="s">
        <v>89</v>
      </c>
      <c r="N57" s="18" t="str">
        <f>"LibFilters3"&amp;"-shown-"&amp;VLOOKUP(A57,'LibFilters3 filterPanelIds'!$A$3:$B$999,2) &amp; "-" &amp; IF(AND(B57&lt;&gt;"",B57&lt;&gt;"nil"),B57,"")</f>
        <v>LibFilters3-shown-12-</v>
      </c>
      <c r="O57" s="18" t="str">
        <f>"LibFilters3"&amp;"-hidden-"&amp;VLOOKUP(A57,'LibFilters3 filterPanelIds'!$A$3:$B$999,2) &amp; "-" &amp; IF(AND(B57&lt;&gt;"",B57&lt;&gt;"nil"),B57,"")</f>
        <v>LibFilters3-hidden-12-</v>
      </c>
      <c r="P57" s="9" t="s">
        <v>89</v>
      </c>
      <c r="Q57" s="14"/>
    </row>
    <row r="58" spans="1:17" s="13" customFormat="1" ht="50.1" hidden="1" customHeight="1" x14ac:dyDescent="0.25">
      <c r="A58" s="16" t="s">
        <v>50</v>
      </c>
      <c r="B58" s="16"/>
      <c r="C58" s="14" t="str">
        <f>VLOOKUP(A58,'LibFilters3 filterPanelIds'!$A$3:$C$1000,3,FALSE)</f>
        <v>Mail send</v>
      </c>
      <c r="D58" s="19" t="s">
        <v>87</v>
      </c>
      <c r="E58" s="28"/>
      <c r="F58" s="33"/>
      <c r="G58" s="34" t="s">
        <v>245</v>
      </c>
      <c r="H58" s="31"/>
      <c r="I58" s="24" t="s">
        <v>89</v>
      </c>
      <c r="J58" s="41" t="s">
        <v>117</v>
      </c>
      <c r="K58" s="25" t="s">
        <v>90</v>
      </c>
      <c r="L58" s="26" t="s">
        <v>89</v>
      </c>
      <c r="M58" s="23" t="s">
        <v>89</v>
      </c>
      <c r="N58" s="18" t="str">
        <f>"LibFilters3"&amp;"-shown-"&amp;VLOOKUP(A58,'LibFilters3 filterPanelIds'!$A$3:$B$999,2) &amp; "-" &amp; IF(AND(B58&lt;&gt;"",B58&lt;&gt;"nil"),B58,"")</f>
        <v>LibFilters3-shown-12-</v>
      </c>
      <c r="O58" s="18" t="str">
        <f>"LibFilters3"&amp;"-hidden-"&amp;VLOOKUP(A58,'LibFilters3 filterPanelIds'!$A$3:$B$999,2) &amp; "-" &amp; IF(AND(B58&lt;&gt;"",B58&lt;&gt;"nil"),B58,"")</f>
        <v>LibFilters3-hidden-12-</v>
      </c>
      <c r="P58" s="9" t="s">
        <v>89</v>
      </c>
      <c r="Q58" s="14"/>
    </row>
    <row r="59" spans="1:17" s="13" customFormat="1" ht="50.1" customHeight="1" x14ac:dyDescent="0.25">
      <c r="A59" s="20" t="s">
        <v>27</v>
      </c>
      <c r="B59" s="20"/>
      <c r="C59" s="14" t="str">
        <f>VLOOKUP(A59,'LibFilters3 filterPanelIds'!$A$3:$C$1000,3,FALSE)</f>
        <v>Provisioner brewing drinks</v>
      </c>
      <c r="D59" s="21" t="s">
        <v>85</v>
      </c>
      <c r="E59" s="28"/>
      <c r="F59" s="33"/>
      <c r="G59" s="36" t="s">
        <v>6</v>
      </c>
      <c r="H59" s="31"/>
      <c r="I59" s="24"/>
      <c r="J59" s="44"/>
      <c r="K59" s="25"/>
      <c r="L59" s="26"/>
      <c r="M59" s="50"/>
      <c r="N59" s="18" t="str">
        <f>"LibFilters3"&amp;"-shown-"&amp;VLOOKUP(A59,'LibFilters3 filterPanelIds'!$A$3:$B$999,2) &amp; "-" &amp; IF(AND(B59&lt;&gt;"",B59&lt;&gt;"nil"),B59,"")</f>
        <v>LibFilters3-shown-23-</v>
      </c>
      <c r="O59" s="18" t="str">
        <f>"LibFilters3"&amp;"-hidden-"&amp;VLOOKUP(A59,'LibFilters3 filterPanelIds'!$A$3:$B$999,2) &amp; "-" &amp; IF(AND(B59&lt;&gt;"",B59&lt;&gt;"nil"),B59,"")</f>
        <v>LibFilters3-hidden-23-</v>
      </c>
      <c r="P59" s="9" t="s">
        <v>89</v>
      </c>
      <c r="Q59" s="14"/>
    </row>
    <row r="60" spans="1:17" s="13" customFormat="1" ht="50.1" customHeight="1" x14ac:dyDescent="0.25">
      <c r="A60" s="20" t="s">
        <v>26</v>
      </c>
      <c r="B60" s="20"/>
      <c r="C60" s="14" t="str">
        <f>VLOOKUP(A60,'LibFilters3 filterPanelIds'!$A$3:$C$1000,3,FALSE)</f>
        <v>Provisioner cooking food</v>
      </c>
      <c r="D60" s="21" t="s">
        <v>85</v>
      </c>
      <c r="E60" s="28"/>
      <c r="F60" s="33"/>
      <c r="G60" s="36" t="s">
        <v>6</v>
      </c>
      <c r="H60" s="31"/>
      <c r="I60" s="24"/>
      <c r="J60" s="44"/>
      <c r="K60" s="25"/>
      <c r="L60" s="26"/>
      <c r="M60" s="50"/>
      <c r="N60" s="18" t="str">
        <f>"LibFilters3"&amp;"-shown-"&amp;VLOOKUP(A60,'LibFilters3 filterPanelIds'!$A$3:$B$999,2) &amp; "-" &amp; IF(AND(B60&lt;&gt;"",B60&lt;&gt;"nil"),B60,"")</f>
        <v>LibFilters3-shown-22-</v>
      </c>
      <c r="O60" s="18" t="str">
        <f>"LibFilters3"&amp;"-hidden-"&amp;VLOOKUP(A60,'LibFilters3 filterPanelIds'!$A$3:$B$999,2) &amp; "-" &amp; IF(AND(B60&lt;&gt;"",B60&lt;&gt;"nil"),B60,"")</f>
        <v>LibFilters3-hidden-22-</v>
      </c>
      <c r="P60" s="9" t="s">
        <v>89</v>
      </c>
      <c r="Q60" s="14"/>
    </row>
    <row r="61" spans="1:17" s="13" customFormat="1" ht="50.1" customHeight="1" x14ac:dyDescent="0.25">
      <c r="A61" s="16" t="s">
        <v>55</v>
      </c>
      <c r="B61" s="16"/>
      <c r="C61" s="14" t="str">
        <f>VLOOKUP(A61,'LibFilters3 filterPanelIds'!$A$3:$C$1000,3,FALSE)</f>
        <v>Quickslot wheel's inventory</v>
      </c>
      <c r="D61" s="17" t="s">
        <v>88</v>
      </c>
      <c r="E61" s="28"/>
      <c r="F61" s="33"/>
      <c r="G61" s="36" t="s">
        <v>243</v>
      </c>
      <c r="H61" s="31"/>
      <c r="I61" s="24"/>
      <c r="J61" s="41" t="s">
        <v>157</v>
      </c>
      <c r="K61" s="25" t="s">
        <v>90</v>
      </c>
      <c r="L61" s="26" t="s">
        <v>89</v>
      </c>
      <c r="M61" s="49" t="s">
        <v>249</v>
      </c>
      <c r="N61" s="18" t="str">
        <f>"LibFilters3"&amp;"-shown-"&amp;VLOOKUP(A61,'LibFilters3 filterPanelIds'!$A$3:$B$999,2) &amp; "-" &amp; IF(AND(B61&lt;&gt;"",B61&lt;&gt;"nil"),B61,"")</f>
        <v>LibFilters3-shown-27-</v>
      </c>
      <c r="O61" s="18" t="str">
        <f>"LibFilters3"&amp;"-hidden-"&amp;VLOOKUP(A61,'LibFilters3 filterPanelIds'!$A$3:$B$999,2) &amp; "-" &amp; IF(AND(B61&lt;&gt;"",B61&lt;&gt;"nil"),B61,"")</f>
        <v>LibFilters3-hidden-27-</v>
      </c>
      <c r="P61" s="9" t="s">
        <v>89</v>
      </c>
      <c r="Q61" s="14"/>
    </row>
    <row r="62" spans="1:17" s="13" customFormat="1" ht="50.1" customHeight="1" x14ac:dyDescent="0.25">
      <c r="A62" s="16" t="s">
        <v>55</v>
      </c>
      <c r="B62" s="16"/>
      <c r="C62" s="14" t="str">
        <f>VLOOKUP(A62,'LibFilters3 filterPanelIds'!$A$3:$C$1000,3,FALSE)</f>
        <v>Quickslot wheel's inventory</v>
      </c>
      <c r="D62" s="19" t="s">
        <v>87</v>
      </c>
      <c r="E62" s="50" t="s">
        <v>89</v>
      </c>
      <c r="F62" s="32" t="s">
        <v>239</v>
      </c>
      <c r="G62" s="32" t="s">
        <v>241</v>
      </c>
      <c r="H62" s="32" t="s">
        <v>242</v>
      </c>
      <c r="I62" s="24"/>
      <c r="J62" s="47" t="s">
        <v>95</v>
      </c>
      <c r="K62" s="25" t="s">
        <v>97</v>
      </c>
      <c r="L62" s="26" t="s">
        <v>89</v>
      </c>
      <c r="M62" s="23" t="s">
        <v>89</v>
      </c>
      <c r="N62" s="18" t="str">
        <f>"LibFilters3"&amp;"-shown-"&amp;VLOOKUP(A62,'LibFilters3 filterPanelIds'!$A$3:$B$999,2) &amp; "-" &amp; IF(AND(B62&lt;&gt;"",B62&lt;&gt;"nil"),B62,"")</f>
        <v>LibFilters3-shown-27-</v>
      </c>
      <c r="O62" s="18" t="str">
        <f>"LibFilters3"&amp;"-hidden-"&amp;VLOOKUP(A62,'LibFilters3 filterPanelIds'!$A$3:$B$999,2) &amp; "-" &amp; IF(AND(B62&lt;&gt;"",B62&lt;&gt;"nil"),B62,"")</f>
        <v>LibFilters3-hidden-27-</v>
      </c>
      <c r="P62" s="9" t="s">
        <v>89</v>
      </c>
      <c r="Q62" s="14"/>
    </row>
    <row r="63" spans="1:17" s="13" customFormat="1" ht="50.1" customHeight="1" x14ac:dyDescent="0.25">
      <c r="A63" s="16" t="s">
        <v>31</v>
      </c>
      <c r="B63" s="16"/>
      <c r="C63" s="14" t="str">
        <f>VLOOKUP(A63,'LibFilters3 filterPanelIds'!$A$3:$C$1000,3,FALSE)</f>
        <v>Retrait station's retrait panel</v>
      </c>
      <c r="D63" s="17" t="s">
        <v>88</v>
      </c>
      <c r="E63" s="50" t="s">
        <v>89</v>
      </c>
      <c r="F63" s="32" t="s">
        <v>199</v>
      </c>
      <c r="G63" s="32" t="s">
        <v>200</v>
      </c>
      <c r="H63" s="31"/>
      <c r="I63" s="24"/>
      <c r="J63" s="43" t="s">
        <v>125</v>
      </c>
      <c r="K63" s="25" t="s">
        <v>97</v>
      </c>
      <c r="L63" s="26" t="s">
        <v>89</v>
      </c>
      <c r="M63" s="23" t="s">
        <v>89</v>
      </c>
      <c r="N63" s="18" t="str">
        <f>"LibFilters3"&amp;"-shown-"&amp;VLOOKUP(A63,'LibFilters3 filterPanelIds'!$A$3:$B$999,2) &amp; "-" &amp; IF(AND(B63&lt;&gt;"",B63&lt;&gt;"nil"),B63,"")</f>
        <v>LibFilters3-shown-28-</v>
      </c>
      <c r="O63" s="18" t="str">
        <f>"LibFilters3"&amp;"-hidden-"&amp;VLOOKUP(A63,'LibFilters3 filterPanelIds'!$A$3:$B$999,2) &amp; "-" &amp; IF(AND(B63&lt;&gt;"",B63&lt;&gt;"nil"),B63,"")</f>
        <v>LibFilters3-hidden-28-</v>
      </c>
      <c r="P63" s="9" t="s">
        <v>89</v>
      </c>
      <c r="Q63" s="51" t="s">
        <v>172</v>
      </c>
    </row>
    <row r="64" spans="1:17" s="13" customFormat="1" ht="50.1" customHeight="1" x14ac:dyDescent="0.25">
      <c r="A64" s="16" t="s">
        <v>31</v>
      </c>
      <c r="B64" s="16"/>
      <c r="C64" s="14" t="str">
        <f>VLOOKUP(A64,'LibFilters3 filterPanelIds'!$A$3:$C$1000,3,FALSE)</f>
        <v>Retrait station's retrait panel</v>
      </c>
      <c r="D64" s="19" t="s">
        <v>87</v>
      </c>
      <c r="E64" s="50" t="s">
        <v>89</v>
      </c>
      <c r="F64" s="32" t="s">
        <v>199</v>
      </c>
      <c r="G64" s="32" t="s">
        <v>200</v>
      </c>
      <c r="H64" s="31"/>
      <c r="I64" s="24"/>
      <c r="J64" s="43" t="s">
        <v>125</v>
      </c>
      <c r="K64" s="25" t="s">
        <v>97</v>
      </c>
      <c r="L64" s="26" t="s">
        <v>89</v>
      </c>
      <c r="M64" s="23" t="s">
        <v>89</v>
      </c>
      <c r="N64" s="18" t="str">
        <f>"LibFilters3"&amp;"-shown-"&amp;VLOOKUP(A64,'LibFilters3 filterPanelIds'!$A$3:$B$999,2) &amp; "-" &amp; IF(AND(B64&lt;&gt;"",B64&lt;&gt;"nil"),B64,"")</f>
        <v>LibFilters3-shown-28-</v>
      </c>
      <c r="O64" s="18" t="str">
        <f>"LibFilters3"&amp;"-hidden-"&amp;VLOOKUP(A64,'LibFilters3 filterPanelIds'!$A$3:$B$999,2) &amp; "-" &amp; IF(AND(B64&lt;&gt;"",B64&lt;&gt;"nil"),B64,"")</f>
        <v>LibFilters3-hidden-28-</v>
      </c>
      <c r="P64" s="9" t="s">
        <v>89</v>
      </c>
      <c r="Q64" s="14"/>
    </row>
    <row r="65" spans="1:17" s="13" customFormat="1" ht="50.1" customHeight="1" x14ac:dyDescent="0.25">
      <c r="A65" s="20" t="s">
        <v>5</v>
      </c>
      <c r="B65" s="20"/>
      <c r="C65" s="14" t="str">
        <f>VLOOKUP(A65,'LibFilters3 filterPanelIds'!$A$3:$C$1000,3,FALSE)</f>
        <v>Smithing creation</v>
      </c>
      <c r="D65" s="13" t="s">
        <v>85</v>
      </c>
      <c r="E65" s="28"/>
      <c r="F65" s="33"/>
      <c r="G65" s="36" t="s">
        <v>6</v>
      </c>
      <c r="H65" s="31"/>
      <c r="I65" s="24"/>
      <c r="J65" s="45" t="s">
        <v>165</v>
      </c>
      <c r="K65" s="25" t="s">
        <v>97</v>
      </c>
      <c r="L65" s="26" t="s">
        <v>89</v>
      </c>
      <c r="M65" s="50"/>
      <c r="N65" s="18" t="str">
        <f>"LibFilters3"&amp;"-shown-"&amp;VLOOKUP(A65,'LibFilters3 filterPanelIds'!$A$3:$B$999,2) &amp; "-" &amp; IF(AND(B65&lt;&gt;"",B65&lt;&gt;"nil"),B65,"")</f>
        <v>LibFilters3-shown-15-</v>
      </c>
      <c r="O65" s="18" t="str">
        <f>"LibFilters3"&amp;"-hidden-"&amp;VLOOKUP(A65,'LibFilters3 filterPanelIds'!$A$3:$B$999,2) &amp; "-" &amp; IF(AND(B65&lt;&gt;"",B65&lt;&gt;"nil"),B65,"")</f>
        <v>LibFilters3-hidden-15-</v>
      </c>
      <c r="P65" s="9" t="s">
        <v>89</v>
      </c>
      <c r="Q65" s="14" t="s">
        <v>174</v>
      </c>
    </row>
    <row r="66" spans="1:17" s="13" customFormat="1" ht="50.1" customHeight="1" x14ac:dyDescent="0.25">
      <c r="A66" s="16" t="s">
        <v>1</v>
      </c>
      <c r="B66" s="16" t="s">
        <v>206</v>
      </c>
      <c r="C66" s="14" t="str">
        <f>VLOOKUP(A66,'LibFilters3 filterPanelIds'!$A$3:$C$1000,3,FALSE)</f>
        <v>Smithing deconstruction</v>
      </c>
      <c r="D66" s="17" t="s">
        <v>88</v>
      </c>
      <c r="E66" s="50" t="s">
        <v>89</v>
      </c>
      <c r="F66" s="32" t="s">
        <v>201</v>
      </c>
      <c r="G66" s="32" t="s">
        <v>202</v>
      </c>
      <c r="H66" s="31"/>
      <c r="I66" s="24"/>
      <c r="J66" s="45" t="s">
        <v>166</v>
      </c>
      <c r="K66" s="25" t="s">
        <v>97</v>
      </c>
      <c r="L66" s="26" t="s">
        <v>89</v>
      </c>
      <c r="M66" s="23" t="s">
        <v>89</v>
      </c>
      <c r="N66" s="18" t="str">
        <f>"LibFilters3"&amp;"-shown-"&amp;VLOOKUP(A66,'LibFilters3 filterPanelIds'!$A$3:$B$999,2) &amp; "-" &amp; IF(AND(B66&lt;&gt;"",B66&lt;&gt;"nil"),B66,"")</f>
        <v>LibFilters3-shown-16-</v>
      </c>
      <c r="O66" s="18" t="str">
        <f>"LibFilters3"&amp;"-hidden-"&amp;VLOOKUP(A66,'LibFilters3 filterPanelIds'!$A$3:$B$999,2) &amp; "-" &amp; IF(AND(B66&lt;&gt;"",B66&lt;&gt;"nil"),B66,"")</f>
        <v>LibFilters3-hidden-16-</v>
      </c>
      <c r="P66" s="9" t="s">
        <v>89</v>
      </c>
      <c r="Q66" s="14" t="s">
        <v>174</v>
      </c>
    </row>
    <row r="67" spans="1:17" s="13" customFormat="1" ht="50.1" customHeight="1" x14ac:dyDescent="0.25">
      <c r="A67" s="16" t="s">
        <v>1</v>
      </c>
      <c r="B67" s="16" t="s">
        <v>206</v>
      </c>
      <c r="C67" s="14" t="str">
        <f>VLOOKUP(A67,'LibFilters3 filterPanelIds'!$A$3:$C$1000,3,FALSE)</f>
        <v>Smithing deconstruction</v>
      </c>
      <c r="D67" s="19" t="s">
        <v>87</v>
      </c>
      <c r="E67" s="50" t="s">
        <v>89</v>
      </c>
      <c r="F67" s="32" t="s">
        <v>201</v>
      </c>
      <c r="G67" s="32" t="s">
        <v>202</v>
      </c>
      <c r="H67" s="31"/>
      <c r="I67" s="24"/>
      <c r="J67" s="45" t="s">
        <v>166</v>
      </c>
      <c r="K67" s="25" t="s">
        <v>97</v>
      </c>
      <c r="L67" s="26" t="s">
        <v>89</v>
      </c>
      <c r="M67" s="23" t="s">
        <v>89</v>
      </c>
      <c r="N67" s="18" t="str">
        <f>"LibFilters3"&amp;"-shown-"&amp;VLOOKUP(A67,'LibFilters3 filterPanelIds'!$A$3:$B$999,2) &amp; "-" &amp; IF(AND(B67&lt;&gt;"",B67&lt;&gt;"nil"),B67,"")</f>
        <v>LibFilters3-shown-16-</v>
      </c>
      <c r="O67" s="18" t="str">
        <f>"LibFilters3"&amp;"-hidden-"&amp;VLOOKUP(A67,'LibFilters3 filterPanelIds'!$A$3:$B$999,2) &amp; "-" &amp; IF(AND(B67&lt;&gt;"",B67&lt;&gt;"nil"),B67,"")</f>
        <v>LibFilters3-hidden-16-</v>
      </c>
      <c r="P67" s="9" t="s">
        <v>89</v>
      </c>
      <c r="Q67" s="14" t="s">
        <v>121</v>
      </c>
    </row>
    <row r="68" spans="1:17" s="13" customFormat="1" ht="50.1" customHeight="1" x14ac:dyDescent="0.25">
      <c r="A68" s="16" t="s">
        <v>1</v>
      </c>
      <c r="B68" s="16" t="s">
        <v>207</v>
      </c>
      <c r="C68" s="14" t="s">
        <v>213</v>
      </c>
      <c r="D68" s="17" t="s">
        <v>88</v>
      </c>
      <c r="E68" s="50" t="s">
        <v>89</v>
      </c>
      <c r="F68" s="32" t="s">
        <v>210</v>
      </c>
      <c r="G68" s="32" t="s">
        <v>212</v>
      </c>
      <c r="H68" s="32" t="s">
        <v>211</v>
      </c>
      <c r="I68" s="24"/>
      <c r="J68" s="45" t="s">
        <v>166</v>
      </c>
      <c r="K68" s="25" t="s">
        <v>97</v>
      </c>
      <c r="L68" s="26" t="s">
        <v>89</v>
      </c>
      <c r="M68" s="23" t="s">
        <v>89</v>
      </c>
      <c r="N68" s="18" t="str">
        <f>"LibFilters3"&amp;"-shown-"&amp;VLOOKUP(A68,'LibFilters3 filterPanelIds'!$A$3:$B$999,2) &amp; "-" &amp; IF(AND(B68&lt;&gt;"",B68&lt;&gt;"nil"),B68,"")</f>
        <v>LibFilters3-shown-16-"all", "armor", "weapons"</v>
      </c>
      <c r="O68" s="18" t="str">
        <f>"LibFilters3"&amp;"-hidden-"&amp;VLOOKUP(A68,'LibFilters3 filterPanelIds'!$A$3:$B$999,2) &amp; "-" &amp; IF(AND(B68&lt;&gt;"",B68&lt;&gt;"nil"),B68,"")</f>
        <v>LibFilters3-hidden-16-"all", "armor", "weapons"</v>
      </c>
      <c r="P68" s="9" t="s">
        <v>89</v>
      </c>
      <c r="Q68" s="14" t="s">
        <v>174</v>
      </c>
    </row>
    <row r="69" spans="1:17" s="13" customFormat="1" ht="50.1" customHeight="1" x14ac:dyDescent="0.25">
      <c r="A69" s="16" t="s">
        <v>1</v>
      </c>
      <c r="B69" s="16" t="s">
        <v>207</v>
      </c>
      <c r="C69" s="14" t="s">
        <v>213</v>
      </c>
      <c r="D69" s="19" t="s">
        <v>87</v>
      </c>
      <c r="E69" s="50" t="s">
        <v>89</v>
      </c>
      <c r="F69" s="32" t="s">
        <v>210</v>
      </c>
      <c r="G69" s="32" t="s">
        <v>212</v>
      </c>
      <c r="H69" s="32" t="s">
        <v>211</v>
      </c>
      <c r="I69" s="24"/>
      <c r="J69" s="45" t="s">
        <v>166</v>
      </c>
      <c r="K69" s="25" t="s">
        <v>97</v>
      </c>
      <c r="L69" s="26" t="s">
        <v>89</v>
      </c>
      <c r="M69" s="23" t="s">
        <v>89</v>
      </c>
      <c r="N69" s="18" t="str">
        <f>"LibFilters3"&amp;"-shown-"&amp;VLOOKUP(A69,'LibFilters3 filterPanelIds'!$A$3:$B$999,2) &amp; "-" &amp; IF(AND(B69&lt;&gt;"",B69&lt;&gt;"nil"),B69,"")</f>
        <v>LibFilters3-shown-16-"all", "armor", "weapons"</v>
      </c>
      <c r="O69" s="18" t="str">
        <f>"LibFilters3"&amp;"-hidden-"&amp;VLOOKUP(A69,'LibFilters3 filterPanelIds'!$A$3:$B$999,2) &amp; "-" &amp; IF(AND(B69&lt;&gt;"",B69&lt;&gt;"nil"),B69,"")</f>
        <v>LibFilters3-hidden-16-"all", "armor", "weapons"</v>
      </c>
      <c r="P69" s="9" t="s">
        <v>89</v>
      </c>
      <c r="Q69" s="14" t="s">
        <v>121</v>
      </c>
    </row>
    <row r="70" spans="1:17" s="13" customFormat="1" ht="50.1" customHeight="1" x14ac:dyDescent="0.25">
      <c r="A70" s="16" t="s">
        <v>7</v>
      </c>
      <c r="B70" s="16"/>
      <c r="C70" s="14" t="str">
        <f>VLOOKUP(A70,'LibFilters3 filterPanelIds'!$A$3:$C$1000,3,FALSE)</f>
        <v>Smithing improvement</v>
      </c>
      <c r="D70" s="17" t="s">
        <v>88</v>
      </c>
      <c r="E70" s="50" t="s">
        <v>89</v>
      </c>
      <c r="F70" s="32" t="s">
        <v>203</v>
      </c>
      <c r="G70" s="32" t="s">
        <v>204</v>
      </c>
      <c r="H70" s="31"/>
      <c r="I70" s="24"/>
      <c r="J70" s="45" t="s">
        <v>167</v>
      </c>
      <c r="K70" s="25" t="s">
        <v>97</v>
      </c>
      <c r="L70" s="26" t="s">
        <v>89</v>
      </c>
      <c r="M70" s="23" t="s">
        <v>89</v>
      </c>
      <c r="N70" s="18" t="str">
        <f>"LibFilters3"&amp;"-shown-"&amp;VLOOKUP(A70,'LibFilters3 filterPanelIds'!$A$3:$B$999,2) &amp; "-" &amp; IF(AND(B70&lt;&gt;"",B70&lt;&gt;"nil"),B70,"")</f>
        <v>LibFilters3-shown-17-</v>
      </c>
      <c r="O70" s="18" t="str">
        <f>"LibFilters3"&amp;"-hidden-"&amp;VLOOKUP(A70,'LibFilters3 filterPanelIds'!$A$3:$B$999,2) &amp; "-" &amp; IF(AND(B70&lt;&gt;"",B70&lt;&gt;"nil"),B70,"")</f>
        <v>LibFilters3-hidden-17-</v>
      </c>
      <c r="P70" s="9" t="s">
        <v>89</v>
      </c>
      <c r="Q70" s="14" t="s">
        <v>174</v>
      </c>
    </row>
    <row r="71" spans="1:17" s="13" customFormat="1" ht="50.1" customHeight="1" x14ac:dyDescent="0.25">
      <c r="A71" s="16" t="s">
        <v>7</v>
      </c>
      <c r="B71" s="16"/>
      <c r="C71" s="14" t="str">
        <f>VLOOKUP(A71,'LibFilters3 filterPanelIds'!$A$3:$C$1000,3,FALSE)</f>
        <v>Smithing improvement</v>
      </c>
      <c r="D71" s="19" t="s">
        <v>87</v>
      </c>
      <c r="E71" s="50" t="s">
        <v>89</v>
      </c>
      <c r="F71" s="32" t="s">
        <v>203</v>
      </c>
      <c r="G71" s="32" t="s">
        <v>204</v>
      </c>
      <c r="H71" s="31"/>
      <c r="I71" s="24"/>
      <c r="J71" s="45" t="s">
        <v>167</v>
      </c>
      <c r="K71" s="25" t="s">
        <v>97</v>
      </c>
      <c r="L71" s="26" t="s">
        <v>89</v>
      </c>
      <c r="M71" s="23" t="s">
        <v>89</v>
      </c>
      <c r="N71" s="18" t="str">
        <f>"LibFilters3"&amp;"-shown-"&amp;VLOOKUP(A71,'LibFilters3 filterPanelIds'!$A$3:$B$999,2) &amp; "-" &amp; IF(AND(B71&lt;&gt;"",B71&lt;&gt;"nil"),B71,"")</f>
        <v>LibFilters3-shown-17-</v>
      </c>
      <c r="O71" s="18" t="str">
        <f>"LibFilters3"&amp;"-hidden-"&amp;VLOOKUP(A71,'LibFilters3 filterPanelIds'!$A$3:$B$999,2) &amp; "-" &amp; IF(AND(B71&lt;&gt;"",B71&lt;&gt;"nil"),B71,"")</f>
        <v>LibFilters3-hidden-17-</v>
      </c>
      <c r="P71" s="9" t="s">
        <v>89</v>
      </c>
      <c r="Q71" s="14" t="s">
        <v>121</v>
      </c>
    </row>
    <row r="72" spans="1:17" s="13" customFormat="1" ht="50.1" customHeight="1" x14ac:dyDescent="0.25">
      <c r="A72" s="16" t="s">
        <v>0</v>
      </c>
      <c r="B72" s="16"/>
      <c r="C72" s="14" t="str">
        <f>VLOOKUP(A72,'LibFilters3 filterPanelIds'!$A$3:$C$1000,3,FALSE)</f>
        <v>Smithing refinement</v>
      </c>
      <c r="D72" s="17" t="s">
        <v>88</v>
      </c>
      <c r="E72" s="50" t="s">
        <v>89</v>
      </c>
      <c r="F72" s="32" t="s">
        <v>201</v>
      </c>
      <c r="G72" s="32" t="s">
        <v>202</v>
      </c>
      <c r="H72" s="31"/>
      <c r="I72" s="24"/>
      <c r="J72" s="45" t="s">
        <v>168</v>
      </c>
      <c r="K72" s="25" t="s">
        <v>97</v>
      </c>
      <c r="L72" s="26" t="s">
        <v>89</v>
      </c>
      <c r="M72" s="23" t="s">
        <v>89</v>
      </c>
      <c r="N72" s="18" t="str">
        <f>"LibFilters3"&amp;"-shown-"&amp;VLOOKUP(A72,'LibFilters3 filterPanelIds'!$A$3:$B$999,2) &amp; "-" &amp; IF(AND(B72&lt;&gt;"",B72&lt;&gt;"nil"),B72,"")</f>
        <v>LibFilters3-shown-14-</v>
      </c>
      <c r="O72" s="18" t="str">
        <f>"LibFilters3"&amp;"-hidden-"&amp;VLOOKUP(A72,'LibFilters3 filterPanelIds'!$A$3:$B$999,2) &amp; "-" &amp; IF(AND(B72&lt;&gt;"",B72&lt;&gt;"nil"),B72,"")</f>
        <v>LibFilters3-hidden-14-</v>
      </c>
      <c r="P72" s="9" t="s">
        <v>89</v>
      </c>
      <c r="Q72" s="14" t="s">
        <v>174</v>
      </c>
    </row>
    <row r="73" spans="1:17" s="13" customFormat="1" ht="50.1" customHeight="1" x14ac:dyDescent="0.25">
      <c r="A73" s="16" t="s">
        <v>0</v>
      </c>
      <c r="B73" s="16"/>
      <c r="C73" s="14" t="str">
        <f>VLOOKUP(A73,'LibFilters3 filterPanelIds'!$A$3:$C$1000,3,FALSE)</f>
        <v>Smithing refinement</v>
      </c>
      <c r="D73" s="19" t="s">
        <v>87</v>
      </c>
      <c r="E73" s="50" t="s">
        <v>89</v>
      </c>
      <c r="F73" s="32" t="s">
        <v>201</v>
      </c>
      <c r="G73" s="32" t="s">
        <v>202</v>
      </c>
      <c r="H73" s="31"/>
      <c r="I73" s="24"/>
      <c r="J73" s="45" t="s">
        <v>168</v>
      </c>
      <c r="K73" s="25" t="s">
        <v>97</v>
      </c>
      <c r="L73" s="26" t="s">
        <v>89</v>
      </c>
      <c r="M73" s="23" t="s">
        <v>89</v>
      </c>
      <c r="N73" s="18" t="str">
        <f>"LibFilters3"&amp;"-shown-"&amp;VLOOKUP(A73,'LibFilters3 filterPanelIds'!$A$3:$B$999,2) &amp; "-" &amp; IF(AND(B73&lt;&gt;"",B73&lt;&gt;"nil"),B73,"")</f>
        <v>LibFilters3-shown-14-</v>
      </c>
      <c r="O73" s="18" t="str">
        <f>"LibFilters3"&amp;"-hidden-"&amp;VLOOKUP(A73,'LibFilters3 filterPanelIds'!$A$3:$B$999,2) &amp; "-" &amp; IF(AND(B73&lt;&gt;"",B73&lt;&gt;"nil"),B73,"")</f>
        <v>LibFilters3-hidden-14-</v>
      </c>
      <c r="P73" s="9" t="s">
        <v>89</v>
      </c>
      <c r="Q73" s="14" t="s">
        <v>121</v>
      </c>
    </row>
    <row r="74" spans="1:17" s="13" customFormat="1" ht="50.1" customHeight="1" x14ac:dyDescent="0.25">
      <c r="A74" s="16" t="s">
        <v>8</v>
      </c>
      <c r="B74" s="16"/>
      <c r="C74" s="14" t="str">
        <f>VLOOKUP(A74,'LibFilters3 filterPanelIds'!$A$3:$C$1000,3,FALSE)</f>
        <v>Smithing research trait list</v>
      </c>
      <c r="D74" s="17" t="s">
        <v>88</v>
      </c>
      <c r="E74" s="50" t="s">
        <v>89</v>
      </c>
      <c r="F74" s="32" t="s">
        <v>194</v>
      </c>
      <c r="G74" s="32" t="s">
        <v>196</v>
      </c>
      <c r="H74" s="31" t="s">
        <v>195</v>
      </c>
      <c r="I74" s="24"/>
      <c r="J74" s="46" t="s">
        <v>169</v>
      </c>
      <c r="K74" s="25" t="s">
        <v>97</v>
      </c>
      <c r="L74" s="26" t="s">
        <v>89</v>
      </c>
      <c r="M74" s="23" t="s">
        <v>89</v>
      </c>
      <c r="N74" s="18" t="str">
        <f>"LibFilters3"&amp;"-shown-"&amp;VLOOKUP(A74,'LibFilters3 filterPanelIds'!$A$3:$B$999,2) &amp; "-" &amp; IF(AND(B74&lt;&gt;"",B74&lt;&gt;"nil"),B74,"")</f>
        <v>LibFilters3-shown-18-</v>
      </c>
      <c r="O74" s="18" t="str">
        <f>"LibFilters3"&amp;"-hidden-"&amp;VLOOKUP(A74,'LibFilters3 filterPanelIds'!$A$3:$B$999,2) &amp; "-" &amp; IF(AND(B74&lt;&gt;"",B74&lt;&gt;"nil"),B74,"")</f>
        <v>LibFilters3-hidden-18-</v>
      </c>
      <c r="P74" s="9" t="s">
        <v>89</v>
      </c>
      <c r="Q74" s="14" t="s">
        <v>174</v>
      </c>
    </row>
    <row r="75" spans="1:17" s="13" customFormat="1" ht="50.1" customHeight="1" x14ac:dyDescent="0.25">
      <c r="A75" s="16" t="s">
        <v>8</v>
      </c>
      <c r="B75" s="16"/>
      <c r="C75" s="14" t="str">
        <f>VLOOKUP(A75,'LibFilters3 filterPanelIds'!$A$3:$C$1000,3,FALSE)</f>
        <v>Smithing research trait list</v>
      </c>
      <c r="D75" s="19" t="s">
        <v>87</v>
      </c>
      <c r="E75" s="50" t="s">
        <v>89</v>
      </c>
      <c r="F75" s="32" t="s">
        <v>194</v>
      </c>
      <c r="G75" s="32" t="s">
        <v>196</v>
      </c>
      <c r="H75" s="31" t="s">
        <v>122</v>
      </c>
      <c r="I75" s="24"/>
      <c r="J75" s="46" t="s">
        <v>169</v>
      </c>
      <c r="K75" s="25" t="s">
        <v>97</v>
      </c>
      <c r="L75" s="26" t="s">
        <v>89</v>
      </c>
      <c r="M75" s="23" t="s">
        <v>89</v>
      </c>
      <c r="N75" s="18" t="str">
        <f>"LibFilters3"&amp;"-shown-"&amp;VLOOKUP(A75,'LibFilters3 filterPanelIds'!$A$3:$B$999,2) &amp; "-" &amp; IF(AND(B75&lt;&gt;"",B75&lt;&gt;"nil"),B75,"")</f>
        <v>LibFilters3-shown-18-</v>
      </c>
      <c r="O75" s="18" t="str">
        <f>"LibFilters3"&amp;"-hidden-"&amp;VLOOKUP(A75,'LibFilters3 filterPanelIds'!$A$3:$B$999,2) &amp; "-" &amp; IF(AND(B75&lt;&gt;"",B75&lt;&gt;"nil"),B75,"")</f>
        <v>LibFilters3-hidden-18-</v>
      </c>
      <c r="P75" s="9" t="s">
        <v>89</v>
      </c>
      <c r="Q75" s="14" t="s">
        <v>121</v>
      </c>
    </row>
    <row r="76" spans="1:17" s="13" customFormat="1" ht="50.1" customHeight="1" x14ac:dyDescent="0.25">
      <c r="A76" s="16" t="s">
        <v>9</v>
      </c>
      <c r="B76" s="16"/>
      <c r="C76" s="14" t="str">
        <f>VLOOKUP(A76,'LibFilters3 filterPanelIds'!$A$3:$C$1000,3,FALSE)</f>
        <v>Smithing research item selection popup</v>
      </c>
      <c r="D76" s="17" t="s">
        <v>88</v>
      </c>
      <c r="E76" s="50" t="s">
        <v>89</v>
      </c>
      <c r="F76" s="38" t="s">
        <v>194</v>
      </c>
      <c r="G76" s="38" t="s">
        <v>198</v>
      </c>
      <c r="H76" s="37" t="s">
        <v>197</v>
      </c>
      <c r="I76" s="24"/>
      <c r="J76" s="39" t="s">
        <v>145</v>
      </c>
      <c r="K76" s="25" t="s">
        <v>124</v>
      </c>
      <c r="L76" s="26" t="s">
        <v>89</v>
      </c>
      <c r="M76" s="23" t="s">
        <v>89</v>
      </c>
      <c r="N76" s="18" t="str">
        <f>"LibFilters3"&amp;"-shown-"&amp;VLOOKUP(A76,'LibFilters3 filterPanelIds'!$A$3:$B$999,2) &amp; "-" &amp; IF(AND(B76&lt;&gt;"",B76&lt;&gt;"nil"),B76,"")</f>
        <v>LibFilters3-shown-36-</v>
      </c>
      <c r="O76" s="18" t="str">
        <f>"LibFilters3"&amp;"-hidden-"&amp;VLOOKUP(A76,'LibFilters3 filterPanelIds'!$A$3:$B$999,2) &amp; "-" &amp; IF(AND(B76&lt;&gt;"",B76&lt;&gt;"nil"),B76,"")</f>
        <v>LibFilters3-hidden-36-</v>
      </c>
      <c r="P76" s="9" t="s">
        <v>89</v>
      </c>
      <c r="Q76" s="14" t="s">
        <v>121</v>
      </c>
    </row>
    <row r="77" spans="1:17" s="13" customFormat="1" ht="50.1" customHeight="1" x14ac:dyDescent="0.25">
      <c r="A77" s="16" t="s">
        <v>9</v>
      </c>
      <c r="B77" s="16"/>
      <c r="C77" s="14" t="str">
        <f>VLOOKUP(A77,'LibFilters3 filterPanelIds'!$A$3:$C$1000,3,FALSE)</f>
        <v>Smithing research item selection popup</v>
      </c>
      <c r="D77" s="19" t="s">
        <v>87</v>
      </c>
      <c r="E77" s="50" t="s">
        <v>89</v>
      </c>
      <c r="F77" s="38" t="s">
        <v>194</v>
      </c>
      <c r="G77" s="38" t="s">
        <v>198</v>
      </c>
      <c r="H77" s="37" t="s">
        <v>197</v>
      </c>
      <c r="I77" s="24"/>
      <c r="J77" s="43" t="s">
        <v>119</v>
      </c>
      <c r="K77" s="25" t="s">
        <v>97</v>
      </c>
      <c r="L77" s="26" t="s">
        <v>89</v>
      </c>
      <c r="M77" s="23" t="s">
        <v>89</v>
      </c>
      <c r="N77" s="18" t="str">
        <f>"LibFilters3"&amp;"-shown-"&amp;VLOOKUP(A77,'LibFilters3 filterPanelIds'!$A$3:$B$999,2) &amp; "-" &amp; IF(AND(B77&lt;&gt;"",B77&lt;&gt;"nil"),B77,"")</f>
        <v>LibFilters3-shown-36-</v>
      </c>
      <c r="O77" s="18" t="str">
        <f>"LibFilters3"&amp;"-hidden-"&amp;VLOOKUP(A77,'LibFilters3 filterPanelIds'!$A$3:$B$999,2) &amp; "-" &amp; IF(AND(B77&lt;&gt;"",B77&lt;&gt;"nil"),B77,"")</f>
        <v>LibFilters3-hidden-36-</v>
      </c>
      <c r="P77" s="9" t="s">
        <v>89</v>
      </c>
      <c r="Q77" s="14" t="s">
        <v>121</v>
      </c>
    </row>
    <row r="78" spans="1:17" s="13" customFormat="1" ht="50.1" customHeight="1" x14ac:dyDescent="0.25">
      <c r="A78" s="16" t="s">
        <v>51</v>
      </c>
      <c r="B78" s="16"/>
      <c r="C78" s="14" t="str">
        <f>VLOOKUP(A78,'LibFilters3 filterPanelIds'!$A$3:$C$1000,3,FALSE)</f>
        <v>Player to player trade</v>
      </c>
      <c r="D78" s="17" t="s">
        <v>88</v>
      </c>
      <c r="E78" s="50" t="s">
        <v>89</v>
      </c>
      <c r="F78" s="32" t="s">
        <v>229</v>
      </c>
      <c r="G78" s="32" t="s">
        <v>231</v>
      </c>
      <c r="H78" s="32" t="s">
        <v>230</v>
      </c>
      <c r="I78" s="24"/>
      <c r="J78" s="40" t="s">
        <v>158</v>
      </c>
      <c r="K78" s="27" t="s">
        <v>148</v>
      </c>
      <c r="L78" s="26"/>
      <c r="M78" s="23" t="s">
        <v>89</v>
      </c>
      <c r="N78" s="18" t="str">
        <f>"LibFilters3"&amp;"-shown-"&amp;VLOOKUP(A78,'LibFilters3 filterPanelIds'!$A$3:$B$999,2) &amp; "-" &amp; IF(AND(B78&lt;&gt;"",B78&lt;&gt;"nil"),B78,"")</f>
        <v>LibFilters3-shown-13-</v>
      </c>
      <c r="O78" s="18" t="str">
        <f>"LibFilters3"&amp;"-hidden-"&amp;VLOOKUP(A78,'LibFilters3 filterPanelIds'!$A$3:$B$999,2) &amp; "-" &amp; IF(AND(B78&lt;&gt;"",B78&lt;&gt;"nil"),B78,"")</f>
        <v>LibFilters3-hidden-13-</v>
      </c>
      <c r="P78" s="9" t="s">
        <v>89</v>
      </c>
      <c r="Q78" s="14"/>
    </row>
    <row r="79" spans="1:17" s="13" customFormat="1" ht="50.1" customHeight="1" x14ac:dyDescent="0.25">
      <c r="A79" s="16" t="s">
        <v>51</v>
      </c>
      <c r="B79" s="16"/>
      <c r="C79" s="14" t="str">
        <f>VLOOKUP(A79,'LibFilters3 filterPanelIds'!$A$3:$C$1000,3,FALSE)</f>
        <v>Player to player trade</v>
      </c>
      <c r="D79" s="19" t="s">
        <v>87</v>
      </c>
      <c r="E79" s="50" t="s">
        <v>89</v>
      </c>
      <c r="F79" s="32" t="s">
        <v>232</v>
      </c>
      <c r="G79" s="32" t="s">
        <v>233</v>
      </c>
      <c r="H79" s="32" t="s">
        <v>107</v>
      </c>
      <c r="I79" s="24"/>
      <c r="J79" s="41" t="s">
        <v>118</v>
      </c>
      <c r="K79" s="25" t="s">
        <v>90</v>
      </c>
      <c r="L79" s="26" t="s">
        <v>89</v>
      </c>
      <c r="M79" s="23" t="s">
        <v>89</v>
      </c>
      <c r="N79" s="18" t="str">
        <f>"LibFilters3"&amp;"-shown-"&amp;VLOOKUP(A79,'LibFilters3 filterPanelIds'!$A$3:$B$999,2) &amp; "-" &amp; IF(AND(B79&lt;&gt;"",B79&lt;&gt;"nil"),B79,"")</f>
        <v>LibFilters3-shown-13-</v>
      </c>
      <c r="O79" s="18" t="str">
        <f>"LibFilters3"&amp;"-hidden-"&amp;VLOOKUP(A79,'LibFilters3 filterPanelIds'!$A$3:$B$999,2) &amp; "-" &amp; IF(AND(B79&lt;&gt;"",B79&lt;&gt;"nil"),B79,"")</f>
        <v>LibFilters3-hidden-13-</v>
      </c>
      <c r="P79" s="9" t="s">
        <v>89</v>
      </c>
      <c r="Q79" s="14"/>
    </row>
    <row r="80" spans="1:17" s="13" customFormat="1" ht="50.1" customHeight="1" x14ac:dyDescent="0.25">
      <c r="A80" s="16" t="s">
        <v>44</v>
      </c>
      <c r="B80" s="16"/>
      <c r="C80" s="14" t="str">
        <f>VLOOKUP(A80,'LibFilters3 filterPanelIds'!$A$3:$C$1000,3,FALSE)</f>
        <v>Vendor Buy</v>
      </c>
      <c r="D80" s="17" t="s">
        <v>88</v>
      </c>
      <c r="E80" s="50" t="s">
        <v>89</v>
      </c>
      <c r="F80" s="32" t="s">
        <v>216</v>
      </c>
      <c r="G80" s="32" t="s">
        <v>217</v>
      </c>
      <c r="H80" s="32" t="s">
        <v>220</v>
      </c>
      <c r="I80" s="24"/>
      <c r="J80" s="43" t="s">
        <v>137</v>
      </c>
      <c r="K80" s="25" t="s">
        <v>120</v>
      </c>
      <c r="L80" s="26" t="s">
        <v>89</v>
      </c>
      <c r="M80" s="23" t="s">
        <v>89</v>
      </c>
      <c r="N80" s="18" t="str">
        <f>"LibFilters3"&amp;"-shown-"&amp;VLOOKUP(A80,'LibFilters3 filterPanelIds'!$A$3:$B$999,2) &amp; "-" &amp; IF(AND(B80&lt;&gt;"",B80&lt;&gt;"nil"),B80,"")</f>
        <v>LibFilters3-shown-6-</v>
      </c>
      <c r="O80" s="18" t="str">
        <f>"LibFilters3"&amp;"-hidden-"&amp;VLOOKUP(A80,'LibFilters3 filterPanelIds'!$A$3:$B$999,2) &amp; "-" &amp; IF(AND(B80&lt;&gt;"",B80&lt;&gt;"nil"),B80,"")</f>
        <v>LibFilters3-hidden-6-</v>
      </c>
      <c r="P80" s="9" t="s">
        <v>89</v>
      </c>
      <c r="Q80" s="14"/>
    </row>
    <row r="81" spans="1:17" s="13" customFormat="1" ht="50.1" customHeight="1" x14ac:dyDescent="0.25">
      <c r="A81" s="16" t="s">
        <v>44</v>
      </c>
      <c r="B81" s="16"/>
      <c r="C81" s="14" t="str">
        <f>VLOOKUP(A81,'LibFilters3 filterPanelIds'!$A$3:$C$1000,3,FALSE)</f>
        <v>Vendor Buy</v>
      </c>
      <c r="D81" s="19" t="s">
        <v>87</v>
      </c>
      <c r="E81" s="50" t="s">
        <v>89</v>
      </c>
      <c r="F81" s="32" t="s">
        <v>234</v>
      </c>
      <c r="G81" s="32" t="s">
        <v>235</v>
      </c>
      <c r="H81" s="32" t="s">
        <v>111</v>
      </c>
      <c r="I81" s="24"/>
      <c r="J81" s="43" t="s">
        <v>107</v>
      </c>
      <c r="K81" s="25" t="s">
        <v>97</v>
      </c>
      <c r="L81" s="26" t="s">
        <v>89</v>
      </c>
      <c r="M81" s="23" t="s">
        <v>89</v>
      </c>
      <c r="N81" s="18" t="str">
        <f>"LibFilters3"&amp;"-shown-"&amp;VLOOKUP(A81,'LibFilters3 filterPanelIds'!$A$3:$B$999,2) &amp; "-" &amp; IF(AND(B81&lt;&gt;"",B81&lt;&gt;"nil"),B81,"")</f>
        <v>LibFilters3-shown-6-</v>
      </c>
      <c r="O81" s="18" t="str">
        <f>"LibFilters3"&amp;"-hidden-"&amp;VLOOKUP(A81,'LibFilters3 filterPanelIds'!$A$3:$B$999,2) &amp; "-" &amp; IF(AND(B81&lt;&gt;"",B81&lt;&gt;"nil"),B81,"")</f>
        <v>LibFilters3-hidden-6-</v>
      </c>
      <c r="P81" s="9" t="s">
        <v>89</v>
      </c>
      <c r="Q81" s="14"/>
    </row>
    <row r="82" spans="1:17" s="13" customFormat="1" ht="50.1" customHeight="1" x14ac:dyDescent="0.25">
      <c r="A82" s="16" t="s">
        <v>46</v>
      </c>
      <c r="B82" s="16"/>
      <c r="C82" s="14" t="str">
        <f>VLOOKUP(A82,'LibFilters3 filterPanelIds'!$A$3:$C$1000,3,FALSE)</f>
        <v>Vendor Buyback</v>
      </c>
      <c r="D82" s="17" t="s">
        <v>88</v>
      </c>
      <c r="E82" s="50" t="s">
        <v>89</v>
      </c>
      <c r="F82" s="32" t="s">
        <v>216</v>
      </c>
      <c r="G82" s="32" t="s">
        <v>217</v>
      </c>
      <c r="H82" s="32" t="s">
        <v>219</v>
      </c>
      <c r="I82" s="24"/>
      <c r="J82" s="43" t="s">
        <v>141</v>
      </c>
      <c r="K82" s="25" t="s">
        <v>120</v>
      </c>
      <c r="L82" s="26" t="s">
        <v>89</v>
      </c>
      <c r="M82" s="23" t="s">
        <v>89</v>
      </c>
      <c r="N82" s="18" t="str">
        <f>"LibFilters3"&amp;"-shown-"&amp;VLOOKUP(A82,'LibFilters3 filterPanelIds'!$A$3:$B$999,2) &amp; "-" &amp; IF(AND(B82&lt;&gt;"",B82&lt;&gt;"nil"),B82,"")</f>
        <v>LibFilters3-shown-8-</v>
      </c>
      <c r="O82" s="18" t="str">
        <f>"LibFilters3"&amp;"-hidden-"&amp;VLOOKUP(A82,'LibFilters3 filterPanelIds'!$A$3:$B$999,2) &amp; "-" &amp; IF(AND(B82&lt;&gt;"",B82&lt;&gt;"nil"),B82,"")</f>
        <v>LibFilters3-hidden-8-</v>
      </c>
      <c r="P82" s="9" t="s">
        <v>89</v>
      </c>
      <c r="Q82" s="14"/>
    </row>
    <row r="83" spans="1:17" s="13" customFormat="1" ht="50.1" customHeight="1" x14ac:dyDescent="0.25">
      <c r="A83" s="16" t="s">
        <v>46</v>
      </c>
      <c r="B83" s="16"/>
      <c r="C83" s="14" t="str">
        <f>VLOOKUP(A83,'LibFilters3 filterPanelIds'!$A$3:$C$1000,3,FALSE)</f>
        <v>Vendor Buyback</v>
      </c>
      <c r="D83" s="19" t="s">
        <v>87</v>
      </c>
      <c r="E83" s="50" t="s">
        <v>89</v>
      </c>
      <c r="F83" s="32" t="s">
        <v>234</v>
      </c>
      <c r="G83" s="32" t="s">
        <v>235</v>
      </c>
      <c r="H83" s="32" t="s">
        <v>111</v>
      </c>
      <c r="I83" s="24"/>
      <c r="J83" s="43" t="s">
        <v>111</v>
      </c>
      <c r="K83" s="25" t="s">
        <v>97</v>
      </c>
      <c r="L83" s="26" t="s">
        <v>89</v>
      </c>
      <c r="M83" s="23" t="s">
        <v>89</v>
      </c>
      <c r="N83" s="18" t="str">
        <f>"LibFilters3"&amp;"-shown-"&amp;VLOOKUP(A83,'LibFilters3 filterPanelIds'!$A$3:$B$999,2) &amp; "-" &amp; IF(AND(B83&lt;&gt;"",B83&lt;&gt;"nil"),B83,"")</f>
        <v>LibFilters3-shown-8-</v>
      </c>
      <c r="O83" s="18" t="str">
        <f>"LibFilters3"&amp;"-hidden-"&amp;VLOOKUP(A83,'LibFilters3 filterPanelIds'!$A$3:$B$999,2) &amp; "-" &amp; IF(AND(B83&lt;&gt;"",B83&lt;&gt;"nil"),B83,"")</f>
        <v>LibFilters3-hidden-8-</v>
      </c>
      <c r="P83" s="9" t="s">
        <v>89</v>
      </c>
      <c r="Q83" s="14"/>
    </row>
    <row r="84" spans="1:17" s="13" customFormat="1" ht="50.1" customHeight="1" x14ac:dyDescent="0.25">
      <c r="A84" s="16" t="s">
        <v>47</v>
      </c>
      <c r="B84" s="16"/>
      <c r="C84" s="14" t="str">
        <f>VLOOKUP(A84,'LibFilters3 filterPanelIds'!$A$3:$C$1000,3,FALSE)</f>
        <v>Vendor Repair</v>
      </c>
      <c r="D84" s="17" t="s">
        <v>88</v>
      </c>
      <c r="E84" s="50" t="s">
        <v>89</v>
      </c>
      <c r="F84" s="32" t="s">
        <v>216</v>
      </c>
      <c r="G84" s="32" t="s">
        <v>217</v>
      </c>
      <c r="H84" s="32" t="s">
        <v>221</v>
      </c>
      <c r="I84" s="24"/>
      <c r="J84" s="43" t="s">
        <v>142</v>
      </c>
      <c r="K84" s="25" t="s">
        <v>120</v>
      </c>
      <c r="L84" s="26" t="s">
        <v>89</v>
      </c>
      <c r="M84" s="23" t="s">
        <v>89</v>
      </c>
      <c r="N84" s="18" t="str">
        <f>"LibFilters3"&amp;"-shown-"&amp;VLOOKUP(A84,'LibFilters3 filterPanelIds'!$A$3:$B$999,2) &amp; "-" &amp; IF(AND(B84&lt;&gt;"",B84&lt;&gt;"nil"),B84,"")</f>
        <v>LibFilters3-shown-9-</v>
      </c>
      <c r="O84" s="18" t="str">
        <f>"LibFilters3"&amp;"-hidden-"&amp;VLOOKUP(A84,'LibFilters3 filterPanelIds'!$A$3:$B$999,2) &amp; "-" &amp; IF(AND(B84&lt;&gt;"",B84&lt;&gt;"nil"),B84,"")</f>
        <v>LibFilters3-hidden-9-</v>
      </c>
      <c r="P84" s="9" t="s">
        <v>89</v>
      </c>
      <c r="Q84" s="14"/>
    </row>
    <row r="85" spans="1:17" s="13" customFormat="1" ht="50.1" customHeight="1" x14ac:dyDescent="0.25">
      <c r="A85" s="16" t="s">
        <v>47</v>
      </c>
      <c r="B85" s="16"/>
      <c r="C85" s="14" t="str">
        <f>VLOOKUP(A85,'LibFilters3 filterPanelIds'!$A$3:$C$1000,3,FALSE)</f>
        <v>Vendor Repair</v>
      </c>
      <c r="D85" s="19" t="s">
        <v>87</v>
      </c>
      <c r="E85" s="50" t="s">
        <v>89</v>
      </c>
      <c r="F85" s="32" t="s">
        <v>238</v>
      </c>
      <c r="G85" s="32" t="s">
        <v>235</v>
      </c>
      <c r="H85" s="32" t="s">
        <v>112</v>
      </c>
      <c r="I85" s="24"/>
      <c r="J85" s="43" t="s">
        <v>112</v>
      </c>
      <c r="K85" s="25" t="s">
        <v>97</v>
      </c>
      <c r="L85" s="26" t="s">
        <v>89</v>
      </c>
      <c r="M85" s="23" t="s">
        <v>89</v>
      </c>
      <c r="N85" s="18" t="str">
        <f>"LibFilters3"&amp;"-shown-"&amp;VLOOKUP(A85,'LibFilters3 filterPanelIds'!$A$3:$B$999,2) &amp; "-" &amp; IF(AND(B85&lt;&gt;"",B85&lt;&gt;"nil"),B85,"")</f>
        <v>LibFilters3-shown-9-</v>
      </c>
      <c r="O85" s="18" t="str">
        <f>"LibFilters3"&amp;"-hidden-"&amp;VLOOKUP(A85,'LibFilters3 filterPanelIds'!$A$3:$B$999,2) &amp; "-" &amp; IF(AND(B85&lt;&gt;"",B85&lt;&gt;"nil"),B85,"")</f>
        <v>LibFilters3-hidden-9-</v>
      </c>
      <c r="P85" s="9" t="s">
        <v>89</v>
      </c>
      <c r="Q85" s="14"/>
    </row>
    <row r="86" spans="1:17" s="13" customFormat="1" ht="50.1" customHeight="1" x14ac:dyDescent="0.25">
      <c r="A86" s="16" t="s">
        <v>45</v>
      </c>
      <c r="B86" s="16"/>
      <c r="C86" s="14" t="str">
        <f>VLOOKUP(A86,'LibFilters3 filterPanelIds'!$A$3:$C$1000,3,FALSE)</f>
        <v>Vendor Sell</v>
      </c>
      <c r="D86" s="17" t="s">
        <v>88</v>
      </c>
      <c r="E86" s="50" t="s">
        <v>89</v>
      </c>
      <c r="F86" s="32" t="s">
        <v>216</v>
      </c>
      <c r="G86" s="32" t="s">
        <v>217</v>
      </c>
      <c r="H86" s="32" t="s">
        <v>218</v>
      </c>
      <c r="I86" s="24"/>
      <c r="J86" s="43" t="s">
        <v>139</v>
      </c>
      <c r="K86" s="25" t="s">
        <v>120</v>
      </c>
      <c r="L86" s="26" t="s">
        <v>89</v>
      </c>
      <c r="M86" s="23" t="s">
        <v>89</v>
      </c>
      <c r="N86" s="18" t="str">
        <f>"LibFilters3"&amp;"-shown-"&amp;VLOOKUP(A86,'LibFilters3 filterPanelIds'!$A$3:$B$999,2) &amp; "-" &amp; IF(AND(B86&lt;&gt;"",B86&lt;&gt;"nil"),B86,"")</f>
        <v>LibFilters3-shown-7-</v>
      </c>
      <c r="O86" s="18" t="str">
        <f>"LibFilters3"&amp;"-hidden-"&amp;VLOOKUP(A86,'LibFilters3 filterPanelIds'!$A$3:$B$999,2) &amp; "-" &amp; IF(AND(B86&lt;&gt;"",B86&lt;&gt;"nil"),B86,"")</f>
        <v>LibFilters3-hidden-7-</v>
      </c>
      <c r="P86" s="9" t="s">
        <v>89</v>
      </c>
      <c r="Q86" s="14"/>
    </row>
    <row r="87" spans="1:17" s="13" customFormat="1" ht="50.1" hidden="1" customHeight="1" x14ac:dyDescent="0.25">
      <c r="A87" s="16" t="s">
        <v>45</v>
      </c>
      <c r="B87" s="16"/>
      <c r="C87" s="14" t="str">
        <f>VLOOKUP(A87,'LibFilters3 filterPanelIds'!$A$3:$C$1000,3,FALSE)</f>
        <v>Vendor Sell</v>
      </c>
      <c r="D87" s="19" t="s">
        <v>87</v>
      </c>
      <c r="E87" s="28"/>
      <c r="F87" s="33"/>
      <c r="G87" s="34" t="s">
        <v>245</v>
      </c>
      <c r="H87" s="31"/>
      <c r="I87" s="24"/>
      <c r="J87" s="41" t="s">
        <v>108</v>
      </c>
      <c r="K87" s="25" t="s">
        <v>90</v>
      </c>
      <c r="L87" s="26" t="s">
        <v>89</v>
      </c>
      <c r="M87" s="23" t="s">
        <v>89</v>
      </c>
      <c r="N87" s="18" t="str">
        <f>"LibFilters3"&amp;"-shown-"&amp;VLOOKUP(A87,'LibFilters3 filterPanelIds'!$A$3:$B$999,2) &amp; "-" &amp; IF(AND(B87&lt;&gt;"",B87&lt;&gt;"nil"),B87,"")</f>
        <v>LibFilters3-shown-7-</v>
      </c>
      <c r="O87" s="18" t="str">
        <f>"LibFilters3"&amp;"-hidden-"&amp;VLOOKUP(A87,'LibFilters3 filterPanelIds'!$A$3:$B$999,2) &amp; "-" &amp; IF(AND(B87&lt;&gt;"",B87&lt;&gt;"nil"),B87,"")</f>
        <v>LibFilters3-hidden-7-</v>
      </c>
      <c r="P87" s="9" t="s">
        <v>89</v>
      </c>
      <c r="Q87" s="14" t="s">
        <v>109</v>
      </c>
    </row>
    <row r="88" spans="1:17" s="13" customFormat="1" ht="64.5" customHeight="1" x14ac:dyDescent="0.25">
      <c r="A88" s="16" t="s">
        <v>63</v>
      </c>
      <c r="B88" s="16"/>
      <c r="C88" s="14" t="str">
        <f>VLOOKUP(A88,'LibFilters3 filterPanelIds'!$A$3:$C$1000,3,FALSE)</f>
        <v>Cyrodiil Vengeance campaign vendor Sell</v>
      </c>
      <c r="D88" s="17" t="s">
        <v>88</v>
      </c>
      <c r="E88" s="50" t="s">
        <v>89</v>
      </c>
      <c r="F88" s="32" t="s">
        <v>216</v>
      </c>
      <c r="G88" s="32" t="s">
        <v>217</v>
      </c>
      <c r="H88" s="32" t="s">
        <v>244</v>
      </c>
      <c r="I88" s="24"/>
      <c r="J88" s="43" t="s">
        <v>140</v>
      </c>
      <c r="K88" s="25" t="s">
        <v>120</v>
      </c>
      <c r="L88" s="26" t="s">
        <v>89</v>
      </c>
      <c r="M88" s="23" t="s">
        <v>89</v>
      </c>
      <c r="N88" s="18" t="str">
        <f>"LibFilters3"&amp;"-shown-"&amp;VLOOKUP(A88,'LibFilters3 filterPanelIds'!$A$3:$B$999,2) &amp; "-" &amp; IF(AND(B88&lt;&gt;"",B88&lt;&gt;"nil"),B88,"")</f>
        <v>LibFilters3-shown-43-</v>
      </c>
      <c r="O88" s="18" t="str">
        <f>"LibFilters3"&amp;"-hidden-"&amp;VLOOKUP(A88,'LibFilters3 filterPanelIds'!$A$3:$B$999,2) &amp; "-" &amp; IF(AND(B88&lt;&gt;"",B88&lt;&gt;"nil"),B88,"")</f>
        <v>LibFilters3-hidden-43-</v>
      </c>
      <c r="P88" s="9" t="s">
        <v>89</v>
      </c>
      <c r="Q88" s="14"/>
    </row>
    <row r="89" spans="1:17" s="13" customFormat="1" ht="66" hidden="1" customHeight="1" x14ac:dyDescent="0.25">
      <c r="A89" s="16" t="s">
        <v>63</v>
      </c>
      <c r="B89" s="16"/>
      <c r="C89" s="14" t="str">
        <f>VLOOKUP(A89,'LibFilters3 filterPanelIds'!$A$3:$C$1000,3,FALSE)</f>
        <v>Cyrodiil Vengeance campaign vendor Sell</v>
      </c>
      <c r="D89" s="19" t="s">
        <v>87</v>
      </c>
      <c r="E89" s="28"/>
      <c r="F89" s="33"/>
      <c r="G89" s="34" t="s">
        <v>245</v>
      </c>
      <c r="H89" s="31"/>
      <c r="I89" s="24"/>
      <c r="J89" s="41" t="s">
        <v>108</v>
      </c>
      <c r="K89" s="25" t="s">
        <v>90</v>
      </c>
      <c r="L89" s="26" t="s">
        <v>89</v>
      </c>
      <c r="M89" s="23" t="s">
        <v>89</v>
      </c>
      <c r="N89" s="18" t="str">
        <f>"LibFilters3"&amp;"-shown-"&amp;VLOOKUP(A89,'LibFilters3 filterPanelIds'!$A$3:$B$999,2) &amp; "-" &amp; IF(AND(B89&lt;&gt;"",B89&lt;&gt;"nil"),B89,"")</f>
        <v>LibFilters3-shown-43-</v>
      </c>
      <c r="O89" s="18" t="str">
        <f>"LibFilters3"&amp;"-hidden-"&amp;VLOOKUP(A89,'LibFilters3 filterPanelIds'!$A$3:$B$999,2) &amp; "-" &amp; IF(AND(B89&lt;&gt;"",B89&lt;&gt;"nil"),B89,"")</f>
        <v>LibFilters3-hidden-43-</v>
      </c>
      <c r="P89" s="9" t="s">
        <v>89</v>
      </c>
      <c r="Q89" s="14" t="s">
        <v>110</v>
      </c>
    </row>
    <row r="90" spans="1:17" x14ac:dyDescent="0.25">
      <c r="C90" s="14"/>
    </row>
    <row r="91" spans="1:17" x14ac:dyDescent="0.25">
      <c r="C91" s="14"/>
    </row>
    <row r="92" spans="1:17" x14ac:dyDescent="0.25">
      <c r="C92" s="14"/>
    </row>
    <row r="93" spans="1:17" x14ac:dyDescent="0.25">
      <c r="C93" s="14"/>
    </row>
    <row r="94" spans="1:17" x14ac:dyDescent="0.25">
      <c r="C94" s="14"/>
    </row>
    <row r="95" spans="1:17" x14ac:dyDescent="0.25">
      <c r="C95" s="14"/>
    </row>
    <row r="96" spans="1:17" x14ac:dyDescent="0.25">
      <c r="C96" s="14"/>
    </row>
    <row r="97" spans="3:3" x14ac:dyDescent="0.25">
      <c r="C97" s="14"/>
    </row>
    <row r="98" spans="3:3" x14ac:dyDescent="0.25">
      <c r="C98" s="14"/>
    </row>
  </sheetData>
  <autoFilter ref="A2:Q89" xr:uid="{00000000-0001-0000-0000-000000000000}">
    <filterColumn colId="6">
      <filters>
        <filter val="AddSlotDataToTable"/>
        <filter val="Currently not implemented"/>
        <filter val="Currently not implemented or not sure if working, as gamepad inventory quickslot is different."/>
        <filter val="DoesItemPassFilter"/>
        <filter val="GetItemDataFilterComparator"/>
        <filter val="GetQuestItemDataFilterComparator"/>
        <filter val="IsResearchableItem"/>
        <filter val="Refresh (add LibFilters3_HorizontalScrollbarFilters), and inside local function DoesNotBlockResearch (check .additionalFilter)"/>
        <filter val="ShouldAddItemToList"/>
        <filter val="ShouldAddItemToList_x000a_ShouldAddQuestItemToList_x000a_AppendCollectiblesData"/>
        <filter val="updateFunc"/>
        <filter val="UpdateList"/>
        <filter val="ZO_Alchemy_DoesAlchemyItemPassFilter"/>
        <filter val="ZO_Enchanting_DoesEnchantingItemPassFilter"/>
        <filter val="ZO_RetraitStation_DoesItemPassFilter"/>
        <filter val="ZO_SharedSmithingExtraction_DoesItemPassFilter"/>
        <filter val="ZO_SharedSmithingImprovement_DoesItemPassFilter"/>
      </filters>
    </filterColumn>
  </autoFilter>
  <sortState xmlns:xlrd2="http://schemas.microsoft.com/office/spreadsheetml/2017/richdata2" ref="A3:O89">
    <sortCondition ref="A3:A89"/>
    <sortCondition ref="D3:D89"/>
  </sortState>
  <mergeCells count="1">
    <mergeCell ref="A1:Q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90E01-C26F-4DB3-9912-E591874AEAB9}">
  <dimension ref="A1:Q3"/>
  <sheetViews>
    <sheetView workbookViewId="0">
      <selection activeCell="E9" sqref="E9"/>
    </sheetView>
  </sheetViews>
  <sheetFormatPr baseColWidth="10" defaultRowHeight="15" x14ac:dyDescent="0.25"/>
  <cols>
    <col min="17" max="17" width="13.7109375" customWidth="1"/>
  </cols>
  <sheetData>
    <row r="1" spans="1:17" x14ac:dyDescent="0.25">
      <c r="A1" s="12" t="s">
        <v>135</v>
      </c>
      <c r="B1" s="12"/>
      <c r="C1" s="12"/>
      <c r="D1" s="12"/>
      <c r="E1" s="12"/>
      <c r="F1" s="12"/>
      <c r="G1" s="12"/>
      <c r="H1" s="12"/>
      <c r="I1" s="12"/>
      <c r="J1" s="12"/>
      <c r="K1" s="12"/>
      <c r="L1" s="12"/>
      <c r="M1" s="12"/>
      <c r="N1" s="12"/>
      <c r="O1" s="12"/>
      <c r="P1" s="12"/>
      <c r="Q1" s="12"/>
    </row>
    <row r="3" spans="1:17" x14ac:dyDescent="0.25">
      <c r="A3" t="s">
        <v>237</v>
      </c>
    </row>
  </sheetData>
  <mergeCells count="1">
    <mergeCell ref="A1:Q1"/>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LibFilters3 filterPanelIds</vt:lpstr>
      <vt:lpstr>LibFilters3 .additionalFilter</vt:lpstr>
      <vt:lpstr>LibFilters3 helper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Z.</dc:creator>
  <cp:lastModifiedBy>Ziegelt, Patrik</cp:lastModifiedBy>
  <dcterms:created xsi:type="dcterms:W3CDTF">2015-06-05T18:19:34Z</dcterms:created>
  <dcterms:modified xsi:type="dcterms:W3CDTF">2025-12-13T00:02:13Z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acb1fe-c5a2-487a-a0b1-2165e5aed2c7_Enabled">
    <vt:lpwstr>true</vt:lpwstr>
  </property>
  <property fmtid="{D5CDD505-2E9C-101B-9397-08002B2CF9AE}" pid="3" name="MSIP_Label_0facb1fe-c5a2-487a-a0b1-2165e5aed2c7_SetDate">
    <vt:lpwstr>2025-12-12T20:47:53Z</vt:lpwstr>
  </property>
  <property fmtid="{D5CDD505-2E9C-101B-9397-08002B2CF9AE}" pid="4" name="MSIP_Label_0facb1fe-c5a2-487a-a0b1-2165e5aed2c7_Method">
    <vt:lpwstr>Privileged</vt:lpwstr>
  </property>
  <property fmtid="{D5CDD505-2E9C-101B-9397-08002B2CF9AE}" pid="5" name="MSIP_Label_0facb1fe-c5a2-487a-a0b1-2165e5aed2c7_Name">
    <vt:lpwstr>DXC Public</vt:lpwstr>
  </property>
  <property fmtid="{D5CDD505-2E9C-101B-9397-08002B2CF9AE}" pid="6" name="MSIP_Label_0facb1fe-c5a2-487a-a0b1-2165e5aed2c7_SiteId">
    <vt:lpwstr>93f33571-550f-43cf-b09f-cd331338d086</vt:lpwstr>
  </property>
  <property fmtid="{D5CDD505-2E9C-101B-9397-08002B2CF9AE}" pid="7" name="MSIP_Label_0facb1fe-c5a2-487a-a0b1-2165e5aed2c7_ActionId">
    <vt:lpwstr>d896e807-b0d8-47cb-81ad-6a34df20d4f9</vt:lpwstr>
  </property>
  <property fmtid="{D5CDD505-2E9C-101B-9397-08002B2CF9AE}" pid="8" name="MSIP_Label_0facb1fe-c5a2-487a-a0b1-2165e5aed2c7_ContentBits">
    <vt:lpwstr>0</vt:lpwstr>
  </property>
  <property fmtid="{D5CDD505-2E9C-101B-9397-08002B2CF9AE}" pid="9" name="MSIP_Label_0facb1fe-c5a2-487a-a0b1-2165e5aed2c7_Tag">
    <vt:lpwstr>10, 0, 1, 1</vt:lpwstr>
  </property>
</Properties>
</file>